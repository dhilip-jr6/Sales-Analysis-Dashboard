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697AACCB-21F5-4A79-99AA-8AEACE8EDBC5}" xr6:coauthVersionLast="47" xr6:coauthVersionMax="47" xr10:uidLastSave="{00000000-0000-0000-0000-000000000000}"/>
  <bookViews>
    <workbookView xWindow="-110" yWindow="-110" windowWidth="19420" windowHeight="10300" activeTab="2" xr2:uid="{C0893FBD-34B3-420E-B0D6-EC330180DDEA}"/>
  </bookViews>
  <sheets>
    <sheet name="Dashboard" sheetId="6" r:id="rId1"/>
    <sheet name="SalesData" sheetId="3" r:id="rId2"/>
    <sheet name="Pivot" sheetId="5"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3" l="1"/>
  <c r="K9" i="3"/>
  <c r="K7" i="3"/>
  <c r="K5"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2" i="3"/>
  <c r="H51" i="3"/>
  <c r="G51" i="3"/>
  <c r="F51" i="3"/>
  <c r="H50" i="3"/>
  <c r="G50" i="3"/>
  <c r="F50" i="3"/>
  <c r="H49" i="3"/>
  <c r="G49" i="3"/>
  <c r="F49" i="3"/>
  <c r="H48" i="3"/>
  <c r="G48" i="3"/>
  <c r="F48" i="3"/>
  <c r="H47" i="3"/>
  <c r="G47" i="3"/>
  <c r="F47" i="3"/>
  <c r="H46" i="3"/>
  <c r="G46" i="3"/>
  <c r="F46" i="3"/>
  <c r="H45" i="3"/>
  <c r="G45" i="3"/>
  <c r="F45" i="3"/>
  <c r="H44" i="3"/>
  <c r="G44" i="3"/>
  <c r="F44" i="3"/>
  <c r="H43" i="3"/>
  <c r="G43" i="3"/>
  <c r="F43" i="3"/>
  <c r="H42" i="3"/>
  <c r="G42" i="3"/>
  <c r="F42" i="3"/>
  <c r="H41" i="3"/>
  <c r="G41" i="3"/>
  <c r="F41" i="3"/>
  <c r="H40" i="3"/>
  <c r="G40" i="3"/>
  <c r="F40" i="3"/>
  <c r="H39" i="3"/>
  <c r="G39" i="3"/>
  <c r="F39" i="3"/>
  <c r="H38" i="3"/>
  <c r="G38" i="3"/>
  <c r="F38" i="3"/>
  <c r="H37" i="3"/>
  <c r="G37" i="3"/>
  <c r="F37" i="3"/>
  <c r="H36" i="3"/>
  <c r="G36" i="3"/>
  <c r="F36" i="3"/>
  <c r="H35" i="3"/>
  <c r="G35" i="3"/>
  <c r="F35" i="3"/>
  <c r="H34" i="3"/>
  <c r="G34" i="3"/>
  <c r="F34" i="3"/>
  <c r="H33" i="3"/>
  <c r="G33" i="3"/>
  <c r="F33" i="3"/>
  <c r="H32" i="3"/>
  <c r="G32" i="3"/>
  <c r="F32" i="3"/>
  <c r="H31" i="3"/>
  <c r="G31" i="3"/>
  <c r="F31" i="3"/>
  <c r="H30" i="3"/>
  <c r="G30" i="3"/>
  <c r="F30" i="3"/>
  <c r="H29" i="3"/>
  <c r="G29" i="3"/>
  <c r="F29" i="3"/>
  <c r="H28" i="3"/>
  <c r="G28" i="3"/>
  <c r="F28" i="3"/>
  <c r="H27" i="3"/>
  <c r="G27" i="3"/>
  <c r="F27" i="3"/>
  <c r="H26" i="3"/>
  <c r="G26" i="3"/>
  <c r="F26" i="3"/>
  <c r="H25" i="3"/>
  <c r="G25" i="3"/>
  <c r="F25" i="3"/>
  <c r="H24" i="3"/>
  <c r="G24" i="3"/>
  <c r="F24" i="3"/>
  <c r="H23" i="3"/>
  <c r="G23" i="3"/>
  <c r="F23" i="3"/>
  <c r="H22" i="3"/>
  <c r="G22" i="3"/>
  <c r="F22" i="3"/>
  <c r="H21" i="3"/>
  <c r="G21" i="3"/>
  <c r="F21" i="3"/>
  <c r="H20" i="3"/>
  <c r="G20" i="3"/>
  <c r="F20" i="3"/>
  <c r="H19" i="3"/>
  <c r="G19" i="3"/>
  <c r="F19" i="3"/>
  <c r="H18" i="3"/>
  <c r="G18" i="3"/>
  <c r="F18" i="3"/>
  <c r="H17" i="3"/>
  <c r="G17" i="3"/>
  <c r="F17" i="3"/>
  <c r="H16" i="3"/>
  <c r="G16" i="3"/>
  <c r="F16" i="3"/>
  <c r="H15" i="3"/>
  <c r="G15" i="3"/>
  <c r="F15" i="3"/>
  <c r="H14" i="3"/>
  <c r="G14" i="3"/>
  <c r="F14" i="3"/>
  <c r="H13" i="3"/>
  <c r="G13" i="3"/>
  <c r="F13" i="3"/>
  <c r="H12" i="3"/>
  <c r="G12" i="3"/>
  <c r="F12" i="3"/>
  <c r="H11" i="3"/>
  <c r="G11" i="3"/>
  <c r="F11" i="3"/>
  <c r="H10" i="3"/>
  <c r="G10" i="3"/>
  <c r="F10" i="3"/>
  <c r="H9" i="3"/>
  <c r="G9" i="3"/>
  <c r="F9" i="3"/>
  <c r="H8" i="3"/>
  <c r="G8" i="3"/>
  <c r="F8" i="3"/>
  <c r="H7" i="3"/>
  <c r="G7" i="3"/>
  <c r="F7" i="3"/>
  <c r="H6" i="3"/>
  <c r="G6" i="3"/>
  <c r="F6" i="3"/>
  <c r="H5" i="3"/>
  <c r="G5" i="3"/>
  <c r="F5" i="3"/>
  <c r="H4" i="3"/>
  <c r="G4" i="3"/>
  <c r="F4" i="3"/>
  <c r="H3" i="3"/>
  <c r="G3" i="3"/>
  <c r="F3" i="3"/>
  <c r="H2" i="3"/>
  <c r="G2" i="3"/>
  <c r="F2" i="3"/>
</calcChain>
</file>

<file path=xl/sharedStrings.xml><?xml version="1.0" encoding="utf-8"?>
<sst xmlns="http://schemas.openxmlformats.org/spreadsheetml/2006/main" count="205" uniqueCount="38">
  <si>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</si>
  <si>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</si>
  <si>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</si>
  <si>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</si>
  <si>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</si>
  <si>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</si>
  <si>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</si>
  <si>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</si>
  <si>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</si>
  <si>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</si>
  <si>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</si>
  <si>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</si>
  <si>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</si>
  <si>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</si>
  <si>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</si>
  <si>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</si>
  <si>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</si>
  <si>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</si>
  <si>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</si>
  <si>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</si>
  <si>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</si>
  <si>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</si>
  <si>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</si>
  <si>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</si>
  <si>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</si>
  <si>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</si>
  <si>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</si>
  <si>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</si>
  <si>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</si>
  <si>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</si>
  <si>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</si>
  <si>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Unit Sold</t>
  </si>
  <si>
    <t>Total Profit</t>
  </si>
  <si>
    <t>Average Sales</t>
  </si>
  <si>
    <t>Row Labels</t>
  </si>
  <si>
    <t>Sum of Total Sales</t>
  </si>
  <si>
    <t>Sum of Units Sold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</si>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</sst>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_ &quot;Rs.&quot;\ * #,##0_ ;_ &quot;Rs.&quot;\ * \-#,##0_ ;_ &quot;Rs.&quot;\ * &quot;-&quot;_ ;_ @_ "/>
    <numFmt numFmtId="165" formatCode="##\.##,&quot;L&quot;"/>
    <numFmt numFmtId="166" formatCode="_ * #,##0_ ;_ * \-#,##0_ ;_ * &quot;-&quot;??_ ;_ @_ "/>
  </numFmts>
  <fonts count="3">
    <font>
      <sz val="11"/>
      <color theme="1"/>
      <name val="Aptos Narrow"/>
      <family val="2"/>
      <scheme val="minor"/>
    </font>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4">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164" fontId="0" fillId="0" borderId="0" xfId="0" applyNumberFormat="1"/>
    <xf numFmtId="0" fontId="2" fillId="2" borderId="0" xfId="0" applyFont="1" applyFill="1" applyBorder="1" applyAlignment="1">
      <alignment horizontal="center" vertical="center"/>
    </xf>
    <xf numFmtId="0" fontId="2" fillId="2" borderId="0" xfId="0" applyFont="1" applyFill="1"/>
    <xf numFmtId="0" fontId="0" fillId="0" borderId="0" xfId="0" pivotButton="1"/>
    <xf numFmtId="0" fontId="0" fillId="0" borderId="0" xfId="0" applyNumberFormat="1"/>
    <xf numFmtId="165" fontId="0" fillId="0" borderId="0" xfId="0" applyNumberFormat="1"/>
    <xf numFmtId="43" fontId="0" fillId="0" borderId="0" xfId="2" applyFont="1"/>
    <xf numFmtId="2" fontId="2" fillId="2" borderId="0" xfId="0" applyNumberFormat="1" applyFont="1" applyFill="1"/>
    <xf numFmtId="166" fontId="0" fillId="0" borderId="0" xfId="2" applyNumberFormat="1" applyFont="1"/>
  </cellXfs>
  <cellStyles count="3">
    <cellStyle name="Comma" xfId="2" builtinId="3"/>
    <cellStyle name="Currency [0]" xfId="1" builtinId="7"/>
    <cellStyle name="Normal" xfId="0" builtinId="0"/>
  </cellStyles>
  <dxfs count="0"/>
  <tableStyles count="1" defaultTableStyle="TableStyleMedium2" defaultPivotStyle="PivotStyleLight16">
    <tableStyle name="Invisible" pivot="0" table="0" count="0" xr9:uid="{BDFCBA0C-0FAD-47E9-B8E0-311E6D4497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file.xlsx]Pivot!PivotTable5</c:name>
    <c:fmtId val="5"/>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9"/>
          <c:spPr>
            <a:solidFill>
              <a:schemeClr val="accent1"/>
            </a:solidFill>
            <a:ln w="22225">
              <a:solidFill>
                <a:schemeClr val="lt1"/>
              </a:solidFill>
              <a:round/>
            </a:ln>
            <a:effectLst/>
          </c:spPr>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9"/>
            <c:spPr>
              <a:solidFill>
                <a:schemeClr val="accent1"/>
              </a:solidFill>
              <a:ln w="22225">
                <a:solidFill>
                  <a:schemeClr val="lt1"/>
                </a:solidFill>
                <a:round/>
              </a:ln>
              <a:effectLst/>
            </c:spPr>
          </c:marker>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Pivot!$J$4:$J$11</c:f>
              <c:strCache>
                <c:ptCount val="7"/>
                <c:pt idx="0">
                  <c:v>Action Figure</c:v>
                </c:pt>
                <c:pt idx="1">
                  <c:v>Blender</c:v>
                </c:pt>
                <c:pt idx="2">
                  <c:v>Moisturizer</c:v>
                </c:pt>
                <c:pt idx="3">
                  <c:v>Novel</c:v>
                </c:pt>
                <c:pt idx="4">
                  <c:v>Smartphone</c:v>
                </c:pt>
                <c:pt idx="5">
                  <c:v>Sneakers</c:v>
                </c:pt>
                <c:pt idx="6">
                  <c:v>Tent</c:v>
                </c:pt>
              </c:strCache>
            </c:strRef>
          </c:cat>
          <c:val>
            <c:numRef>
              <c:f>Pivot!$K$4:$K$11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38AE-4D3C-871E-803345900AF5}"/>
            </c:ext>
          </c:extLst>
        </c:ser>
        <c:dLbls>
          <c:dLblPos val="t"/>
          <c:showLegendKey val="0"/>
          <c:showVal val="1"/>
          <c:showCatName val="0"/>
          <c:showSerName val="0"/>
          <c:showPercent val="0"/>
          <c:showBubbleSize val="0"/>
        </c:dLbls>
        <c:dropLines>
          <c:spPr>
            <a:ln w="22225" cap="flat" cmpd="sng" algn="ctr">
              <a:solidFill>
                <a:schemeClr val="accent1">
                  <a:lumMod val="75000"/>
                </a:schemeClr>
              </a:solidFill>
              <a:round/>
            </a:ln>
            <a:effectLst/>
          </c:spPr>
        </c:dropLines>
        <c:marker val="1"/>
        <c:smooth val="0"/>
        <c:axId val="1216434415"/>
        <c:axId val="1216434831"/>
      </c:lineChart>
      <c:catAx>
        <c:axId val="1216434415"/>
        <c:scaling>
          <c:orientation val="minMax"/>
        </c:scaling>
        <c:delete val="0"/>
        <c:axPos val="b"/>
        <c:numFmt formatCode="General" sourceLinked="1"/>
        <c:majorTickMark val="out"/>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1216434831"/>
        <c:crosses val="autoZero"/>
        <c:auto val="1"/>
        <c:lblAlgn val="ctr"/>
        <c:lblOffset val="100"/>
        <c:noMultiLvlLbl val="0"/>
      </c:catAx>
      <c:valAx>
        <c:axId val="12164348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16434415"/>
        <c:crosses val="autoZero"/>
        <c:crossBetween val="midCat"/>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68"/>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55555555555555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0555555555555561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3333333333333232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232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777777777777768"/>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55555555555555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0555555555555561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3333333333333232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777777777777768"/>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55555555555555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0555555555555561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68-4D19-85CC-CE04313DCC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68-4D19-85CC-CE04313DCC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68-4D19-85CC-CE04313DCC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68-4D19-85CC-CE04313DCCBF}"/>
              </c:ext>
            </c:extLst>
          </c:dPt>
          <c:dLbls>
            <c:dLbl>
              <c:idx val="0"/>
              <c:layout>
                <c:manualLayout>
                  <c:x val="8.3333333333333232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68-4D19-85CC-CE04313DCCBF}"/>
                </c:ext>
              </c:extLst>
            </c:dLbl>
            <c:dLbl>
              <c:idx val="1"/>
              <c:layout>
                <c:manualLayout>
                  <c:x val="0.12777777777777768"/>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68-4D19-85CC-CE04313DCCBF}"/>
                </c:ext>
              </c:extLst>
            </c:dLbl>
            <c:dLbl>
              <c:idx val="2"/>
              <c:layout>
                <c:manualLayout>
                  <c:x val="-0.10555555555555556"/>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68-4D19-85CC-CE04313DCCBF}"/>
                </c:ext>
              </c:extLst>
            </c:dLbl>
            <c:dLbl>
              <c:idx val="3"/>
              <c:layout>
                <c:manualLayout>
                  <c:x val="-8.0555555555555561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E68-4D19-85CC-CE04313DCCB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Pivot!$A$4:$A$8</c:f>
              <c:strCache>
                <c:ptCount val="4"/>
                <c:pt idx="0">
                  <c:v>East</c:v>
                </c:pt>
                <c:pt idx="1">
                  <c:v>North</c:v>
                </c:pt>
                <c:pt idx="2">
                  <c:v>South</c:v>
                </c:pt>
                <c:pt idx="3">
                  <c:v>West</c:v>
                </c:pt>
              </c:strCache>
            </c:strRef>
          </c:cat>
          <c:val>
            <c:numRef>
              <c:f>Pivot!$B$4:$B$8</c:f>
              <c:numCache>
                <c:formatCode>##\.##,"L"</c:formatCode>
                <c:ptCount val="4"/>
                <c:pt idx="0">
                  <c:v>3534400</c:v>
                </c:pt>
                <c:pt idx="1">
                  <c:v>2661400</c:v>
                </c:pt>
                <c:pt idx="2">
                  <c:v>2870600</c:v>
                </c:pt>
                <c:pt idx="3">
                  <c:v>3878100</c:v>
                </c:pt>
              </c:numCache>
            </c:numRef>
          </c:val>
          <c:extLst>
            <c:ext xmlns:c16="http://schemas.microsoft.com/office/drawing/2014/chart" uri="{C3380CC4-5D6E-409C-BE32-E72D297353CC}">
              <c16:uniqueId val="{00000008-CE68-4D19-85CC-CE04313DCCBF}"/>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742005410786245E-2"/>
          <c:y val="7.9127985335252782E-2"/>
          <c:w val="0.94570948512033781"/>
          <c:h val="0.90837812224339154"/>
        </c:manualLayout>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Action Figure</c:v>
                </c:pt>
                <c:pt idx="1">
                  <c:v>Blender</c:v>
                </c:pt>
                <c:pt idx="2">
                  <c:v>Moisturizer</c:v>
                </c:pt>
                <c:pt idx="3">
                  <c:v>Novel</c:v>
                </c:pt>
                <c:pt idx="4">
                  <c:v>Smartphone</c:v>
                </c:pt>
                <c:pt idx="5">
                  <c:v>Sneakers</c:v>
                </c:pt>
                <c:pt idx="6">
                  <c:v>Tent</c:v>
                </c:pt>
              </c:strCache>
            </c:strRef>
          </c:cat>
          <c:val>
            <c:numRef>
              <c:f>Pivot!$E$4:$E$11</c:f>
              <c:numCache>
                <c:formatCode>##\.##,"L"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5FFC-4E11-9051-57B74654BFB8}"/>
            </c:ext>
          </c:extLst>
        </c:ser>
        <c:dLbls>
          <c:showLegendKey val="0"/>
          <c:showVal val="0"/>
          <c:showCatName val="0"/>
          <c:showSerName val="0"/>
          <c:showPercent val="0"/>
          <c:showBubbleSize val="0"/>
        </c:dLbls>
        <c:gapWidth val="56"/>
        <c:axId val="1057499695"/>
        <c:axId val="1057500527"/>
      </c:barChart>
      <c:catAx>
        <c:axId val="1057499695"/>
        <c:scaling>
          <c:orientation val="minMax"/>
        </c:scaling>
        <c:delete val="1"/>
        <c:axPos val="l"/>
        <c:numFmt formatCode="General" sourceLinked="1"/>
        <c:majorTickMark val="none"/>
        <c:minorTickMark val="none"/>
        <c:tickLblPos val="nextTo"/>
        <c:crossAx val="1057500527"/>
        <c:crosses val="autoZero"/>
        <c:auto val="1"/>
        <c:lblAlgn val="ctr"/>
        <c:lblOffset val="100"/>
        <c:noMultiLvlLbl val="0"/>
      </c:catAx>
      <c:valAx>
        <c:axId val="1057500527"/>
        <c:scaling>
          <c:orientation val="minMax"/>
        </c:scaling>
        <c:delete val="1"/>
        <c:axPos val="b"/>
        <c:numFmt formatCode="##\.##,&quot;L&quot;" sourceLinked="1"/>
        <c:majorTickMark val="none"/>
        <c:minorTickMark val="none"/>
        <c:tickLblPos val="nextTo"/>
        <c:crossAx val="105749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Pivot!$H$4:$H$14</c:f>
              <c:numCache>
                <c:formatCode>##\.##,"L"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3EE1-45DB-8671-B1BAA8F98168}"/>
            </c:ext>
          </c:extLst>
        </c:ser>
        <c:dLbls>
          <c:dLblPos val="outEnd"/>
          <c:showLegendKey val="0"/>
          <c:showVal val="1"/>
          <c:showCatName val="0"/>
          <c:showSerName val="0"/>
          <c:showPercent val="0"/>
          <c:showBubbleSize val="0"/>
        </c:dLbls>
        <c:gapWidth val="219"/>
        <c:overlap val="-27"/>
        <c:axId val="1060714671"/>
        <c:axId val="1060711343"/>
      </c:barChart>
      <c:catAx>
        <c:axId val="1060714671"/>
        <c:scaling>
          <c:orientation val="minMax"/>
        </c:scaling>
        <c:delete val="1"/>
        <c:axPos val="b"/>
        <c:numFmt formatCode="General" sourceLinked="1"/>
        <c:majorTickMark val="none"/>
        <c:minorTickMark val="none"/>
        <c:tickLblPos val="nextTo"/>
        <c:crossAx val="1060711343"/>
        <c:crosses val="autoZero"/>
        <c:auto val="1"/>
        <c:lblAlgn val="ctr"/>
        <c:lblOffset val="100"/>
        <c:noMultiLvlLbl val="0"/>
      </c:catAx>
      <c:valAx>
        <c:axId val="1060711343"/>
        <c:scaling>
          <c:orientation val="minMax"/>
        </c:scaling>
        <c:delete val="1"/>
        <c:axPos val="l"/>
        <c:numFmt formatCode="##\.##,&quot;L&quot;" sourceLinked="1"/>
        <c:majorTickMark val="none"/>
        <c:minorTickMark val="none"/>
        <c:tickLblPos val="nextTo"/>
        <c:crossAx val="1060714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68"/>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55555555555555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0555555555555561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3333333333333232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4BBF-4339-B46A-C3E2AF808C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4BBF-4339-B46A-C3E2AF808C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4BBF-4339-B46A-C3E2AF808C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4BBF-4339-B46A-C3E2AF808C14}"/>
              </c:ext>
            </c:extLst>
          </c:dPt>
          <c:dLbls>
            <c:dLbl>
              <c:idx val="0"/>
              <c:layout>
                <c:manualLayout>
                  <c:x val="8.3333333333333232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BF-4339-B46A-C3E2AF808C14}"/>
                </c:ext>
              </c:extLst>
            </c:dLbl>
            <c:dLbl>
              <c:idx val="1"/>
              <c:layout>
                <c:manualLayout>
                  <c:x val="0.12777777777777768"/>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BF-4339-B46A-C3E2AF808C14}"/>
                </c:ext>
              </c:extLst>
            </c:dLbl>
            <c:dLbl>
              <c:idx val="2"/>
              <c:layout>
                <c:manualLayout>
                  <c:x val="-0.10555555555555556"/>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BF-4339-B46A-C3E2AF808C14}"/>
                </c:ext>
              </c:extLst>
            </c:dLbl>
            <c:dLbl>
              <c:idx val="3"/>
              <c:layout>
                <c:manualLayout>
                  <c:x val="-8.0555555555555561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BF-4339-B46A-C3E2AF808C1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Pivot!$A$4:$A$8</c:f>
              <c:strCache>
                <c:ptCount val="4"/>
                <c:pt idx="0">
                  <c:v>East</c:v>
                </c:pt>
                <c:pt idx="1">
                  <c:v>North</c:v>
                </c:pt>
                <c:pt idx="2">
                  <c:v>South</c:v>
                </c:pt>
                <c:pt idx="3">
                  <c:v>West</c:v>
                </c:pt>
              </c:strCache>
            </c:strRef>
          </c:cat>
          <c:val>
            <c:numRef>
              <c:f>Pivot!$B$4:$B$8</c:f>
              <c:numCache>
                <c:formatCode>##\.##,"L"</c:formatCode>
                <c:ptCount val="4"/>
                <c:pt idx="0">
                  <c:v>3534400</c:v>
                </c:pt>
                <c:pt idx="1">
                  <c:v>2661400</c:v>
                </c:pt>
                <c:pt idx="2">
                  <c:v>2870600</c:v>
                </c:pt>
                <c:pt idx="3">
                  <c:v>3878100</c:v>
                </c:pt>
              </c:numCache>
            </c:numRef>
          </c:val>
          <c:extLst>
            <c:ext xmlns:c16="http://schemas.microsoft.com/office/drawing/2014/chart" uri="{C3380CC4-5D6E-409C-BE32-E72D297353CC}">
              <c16:uniqueId val="{00000000-4BBF-4339-B46A-C3E2AF808C14}"/>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Action Figure</c:v>
                </c:pt>
                <c:pt idx="1">
                  <c:v>Blender</c:v>
                </c:pt>
                <c:pt idx="2">
                  <c:v>Moisturizer</c:v>
                </c:pt>
                <c:pt idx="3">
                  <c:v>Novel</c:v>
                </c:pt>
                <c:pt idx="4">
                  <c:v>Smartphone</c:v>
                </c:pt>
                <c:pt idx="5">
                  <c:v>Sneakers</c:v>
                </c:pt>
                <c:pt idx="6">
                  <c:v>Tent</c:v>
                </c:pt>
              </c:strCache>
            </c:strRef>
          </c:cat>
          <c:val>
            <c:numRef>
              <c:f>Pivot!$E$4:$E$11</c:f>
              <c:numCache>
                <c:formatCode>##\.##,"L"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48DB-49F8-9511-1DB31EA55EE3}"/>
            </c:ext>
          </c:extLst>
        </c:ser>
        <c:dLbls>
          <c:showLegendKey val="0"/>
          <c:showVal val="0"/>
          <c:showCatName val="0"/>
          <c:showSerName val="0"/>
          <c:showPercent val="0"/>
          <c:showBubbleSize val="0"/>
        </c:dLbls>
        <c:gapWidth val="56"/>
        <c:axId val="1057499695"/>
        <c:axId val="1057500527"/>
      </c:barChart>
      <c:catAx>
        <c:axId val="105749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500527"/>
        <c:crosses val="autoZero"/>
        <c:auto val="1"/>
        <c:lblAlgn val="ctr"/>
        <c:lblOffset val="100"/>
        <c:noMultiLvlLbl val="0"/>
      </c:catAx>
      <c:valAx>
        <c:axId val="1057500527"/>
        <c:scaling>
          <c:orientation val="minMax"/>
        </c:scaling>
        <c:delete val="1"/>
        <c:axPos val="b"/>
        <c:numFmt formatCode="##\.##,&quot;L&quot;" sourceLinked="1"/>
        <c:majorTickMark val="none"/>
        <c:minorTickMark val="none"/>
        <c:tickLblPos val="nextTo"/>
        <c:crossAx val="105749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Pivot!$H$4:$H$14</c:f>
              <c:numCache>
                <c:formatCode>##\.##,"L"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2-F256-4393-8B83-8A8464CD11A3}"/>
            </c:ext>
          </c:extLst>
        </c:ser>
        <c:dLbls>
          <c:dLblPos val="outEnd"/>
          <c:showLegendKey val="0"/>
          <c:showVal val="1"/>
          <c:showCatName val="0"/>
          <c:showSerName val="0"/>
          <c:showPercent val="0"/>
          <c:showBubbleSize val="0"/>
        </c:dLbls>
        <c:gapWidth val="219"/>
        <c:overlap val="-27"/>
        <c:axId val="1060714671"/>
        <c:axId val="1060711343"/>
      </c:barChart>
      <c:catAx>
        <c:axId val="106071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711343"/>
        <c:crosses val="autoZero"/>
        <c:auto val="1"/>
        <c:lblAlgn val="ctr"/>
        <c:lblOffset val="100"/>
        <c:noMultiLvlLbl val="0"/>
      </c:catAx>
      <c:valAx>
        <c:axId val="1060711343"/>
        <c:scaling>
          <c:orientation val="minMax"/>
        </c:scaling>
        <c:delete val="0"/>
        <c:axPos val="l"/>
        <c:numFmt formatCode="##\.##,&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714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file.xlsx]Pivot!PivotTable5</c:name>
    <c:fmtId val="1"/>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9"/>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9"/>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Pivot!$J$4:$J$11</c:f>
              <c:strCache>
                <c:ptCount val="7"/>
                <c:pt idx="0">
                  <c:v>Action Figure</c:v>
                </c:pt>
                <c:pt idx="1">
                  <c:v>Blender</c:v>
                </c:pt>
                <c:pt idx="2">
                  <c:v>Moisturizer</c:v>
                </c:pt>
                <c:pt idx="3">
                  <c:v>Novel</c:v>
                </c:pt>
                <c:pt idx="4">
                  <c:v>Smartphone</c:v>
                </c:pt>
                <c:pt idx="5">
                  <c:v>Sneakers</c:v>
                </c:pt>
                <c:pt idx="6">
                  <c:v>Tent</c:v>
                </c:pt>
              </c:strCache>
            </c:strRef>
          </c:cat>
          <c:val>
            <c:numRef>
              <c:f>Pivot!$K$4:$K$11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4DB4-4D97-B9D3-A50A8C0E1084}"/>
            </c:ext>
          </c:extLst>
        </c:ser>
        <c:dLbls>
          <c:dLblPos val="t"/>
          <c:showLegendKey val="0"/>
          <c:showVal val="1"/>
          <c:showCatName val="0"/>
          <c:showSerName val="0"/>
          <c:showPercent val="0"/>
          <c:showBubbleSize val="0"/>
        </c:dLbls>
        <c:dropLines>
          <c:spPr>
            <a:ln w="22225" cap="flat" cmpd="sng" algn="ctr">
              <a:solidFill>
                <a:schemeClr val="accent1">
                  <a:lumMod val="50000"/>
                </a:schemeClr>
              </a:solidFill>
              <a:round/>
            </a:ln>
            <a:effectLst/>
          </c:spPr>
        </c:dropLines>
        <c:marker val="1"/>
        <c:smooth val="0"/>
        <c:axId val="1216434415"/>
        <c:axId val="1216434831"/>
      </c:lineChart>
      <c:catAx>
        <c:axId val="1216434415"/>
        <c:scaling>
          <c:orientation val="minMax"/>
        </c:scaling>
        <c:delete val="0"/>
        <c:axPos val="b"/>
        <c:numFmt formatCode="General" sourceLinked="1"/>
        <c:majorTickMark val="none"/>
        <c:minorTickMark val="none"/>
        <c:tickLblPos val="nextTo"/>
        <c:spPr>
          <a:solidFill>
            <a:schemeClr val="accent1">
              <a:lumMod val="50000"/>
            </a:schemeClr>
          </a:solid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16434831"/>
        <c:crosses val="autoZero"/>
        <c:auto val="1"/>
        <c:lblAlgn val="ctr"/>
        <c:lblOffset val="100"/>
        <c:noMultiLvlLbl val="0"/>
      </c:catAx>
      <c:valAx>
        <c:axId val="1216434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16434415"/>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19</xdr:col>
      <xdr:colOff>52400</xdr:colOff>
      <xdr:row>4</xdr:row>
      <xdr:rowOff>12700</xdr:rowOff>
    </xdr:to>
    <xdr:sp macro="" textlink="">
      <xdr:nvSpPr>
        <xdr:cNvPr id="2" name="Rectangle: Rounded Corners 1">
          <a:extLst>
            <a:ext uri="{FF2B5EF4-FFF2-40B4-BE49-F238E27FC236}">
              <a16:creationId xmlns:a16="http://schemas.microsoft.com/office/drawing/2014/main" id="{405D4F09-834E-4269-AEC4-C7174C1BA4FD}"/>
            </a:ext>
          </a:extLst>
        </xdr:cNvPr>
        <xdr:cNvSpPr/>
      </xdr:nvSpPr>
      <xdr:spPr>
        <a:xfrm>
          <a:off x="0" y="19050"/>
          <a:ext cx="12600000" cy="7048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31750</xdr:colOff>
      <xdr:row>4</xdr:row>
      <xdr:rowOff>63500</xdr:rowOff>
    </xdr:from>
    <xdr:to>
      <xdr:col>3</xdr:col>
      <xdr:colOff>426550</xdr:colOff>
      <xdr:row>9</xdr:row>
      <xdr:rowOff>110500</xdr:rowOff>
    </xdr:to>
    <xdr:sp macro="" textlink="">
      <xdr:nvSpPr>
        <xdr:cNvPr id="3" name="Rectangle: Rounded Corners 2">
          <a:extLst>
            <a:ext uri="{FF2B5EF4-FFF2-40B4-BE49-F238E27FC236}">
              <a16:creationId xmlns:a16="http://schemas.microsoft.com/office/drawing/2014/main" id="{7ADBDAFC-8E7D-4DC3-A9FF-3063D499ECFF}"/>
            </a:ext>
          </a:extLst>
        </xdr:cNvPr>
        <xdr:cNvSpPr/>
      </xdr:nvSpPr>
      <xdr:spPr>
        <a:xfrm>
          <a:off x="31750" y="774700"/>
          <a:ext cx="2376000" cy="936000"/>
        </a:xfrm>
        <a:prstGeom prst="roundRect">
          <a:avLst>
            <a:gd name="adj" fmla="val 16339"/>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44450</xdr:colOff>
      <xdr:row>4</xdr:row>
      <xdr:rowOff>69850</xdr:rowOff>
    </xdr:from>
    <xdr:to>
      <xdr:col>3</xdr:col>
      <xdr:colOff>292100</xdr:colOff>
      <xdr:row>9</xdr:row>
      <xdr:rowOff>116850</xdr:rowOff>
    </xdr:to>
    <xdr:grpSp>
      <xdr:nvGrpSpPr>
        <xdr:cNvPr id="8" name="Group 7">
          <a:extLst>
            <a:ext uri="{FF2B5EF4-FFF2-40B4-BE49-F238E27FC236}">
              <a16:creationId xmlns:a16="http://schemas.microsoft.com/office/drawing/2014/main" id="{DE8A59E6-AFD3-4739-ABAE-E7A41CB6A462}"/>
            </a:ext>
          </a:extLst>
        </xdr:cNvPr>
        <xdr:cNvGrpSpPr/>
      </xdr:nvGrpSpPr>
      <xdr:grpSpPr>
        <a:xfrm>
          <a:off x="44450" y="795564"/>
          <a:ext cx="2234293" cy="954143"/>
          <a:chOff x="-19050" y="704850"/>
          <a:chExt cx="2228850" cy="936000"/>
        </a:xfrm>
      </xdr:grpSpPr>
      <xdr:sp macro="" textlink="">
        <xdr:nvSpPr>
          <xdr:cNvPr id="4" name="Rectangle: Rounded Corners 3">
            <a:extLst>
              <a:ext uri="{FF2B5EF4-FFF2-40B4-BE49-F238E27FC236}">
                <a16:creationId xmlns:a16="http://schemas.microsoft.com/office/drawing/2014/main" id="{7DEBE7C1-5072-4F4B-8960-7B6CDE0E69BD}"/>
              </a:ext>
            </a:extLst>
          </xdr:cNvPr>
          <xdr:cNvSpPr/>
        </xdr:nvSpPr>
        <xdr:spPr>
          <a:xfrm>
            <a:off x="-19050" y="704850"/>
            <a:ext cx="936000" cy="936000"/>
          </a:xfrm>
          <a:prstGeom prst="roundRect">
            <a:avLst>
              <a:gd name="adj" fmla="val 16159"/>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53AB1DDF-07BE-4AA5-AF8B-16506CFE242D}"/>
              </a:ext>
            </a:extLst>
          </xdr:cNvPr>
          <xdr:cNvSpPr txBox="1"/>
        </xdr:nvSpPr>
        <xdr:spPr>
          <a:xfrm>
            <a:off x="1092200" y="869950"/>
            <a:ext cx="1066800" cy="20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chemeClr val="accent1">
                    <a:lumMod val="50000"/>
                  </a:schemeClr>
                </a:solidFill>
              </a:rPr>
              <a:t>TOTAL SALES</a:t>
            </a:r>
          </a:p>
        </xdr:txBody>
      </xdr:sp>
      <xdr:sp macro="" textlink="SalesData!K3">
        <xdr:nvSpPr>
          <xdr:cNvPr id="7" name="TextBox 6">
            <a:extLst>
              <a:ext uri="{FF2B5EF4-FFF2-40B4-BE49-F238E27FC236}">
                <a16:creationId xmlns:a16="http://schemas.microsoft.com/office/drawing/2014/main" id="{10C6B8D7-8C5A-42A4-A4BF-FE086D91C3E0}"/>
              </a:ext>
            </a:extLst>
          </xdr:cNvPr>
          <xdr:cNvSpPr txBox="1"/>
        </xdr:nvSpPr>
        <xdr:spPr>
          <a:xfrm>
            <a:off x="1085850" y="1193800"/>
            <a:ext cx="11239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EBE95DD-AACD-49DF-AE14-61D45A4E18DC}" type="TxLink">
              <a:rPr lang="en-US" sz="1100" b="1" i="0" u="none" strike="noStrike">
                <a:solidFill>
                  <a:srgbClr val="000000"/>
                </a:solidFill>
                <a:latin typeface="Aptos Narrow"/>
              </a:rPr>
              <a:pPr algn="ctr"/>
              <a:t> 1,29,44,500 </a:t>
            </a:fld>
            <a:endParaRPr lang="en-US" sz="1100" b="1"/>
          </a:p>
        </xdr:txBody>
      </xdr:sp>
    </xdr:grpSp>
    <xdr:clientData/>
  </xdr:twoCellAnchor>
  <xdr:twoCellAnchor>
    <xdr:from>
      <xdr:col>3</xdr:col>
      <xdr:colOff>603250</xdr:colOff>
      <xdr:row>4</xdr:row>
      <xdr:rowOff>63500</xdr:rowOff>
    </xdr:from>
    <xdr:to>
      <xdr:col>7</xdr:col>
      <xdr:colOff>463550</xdr:colOff>
      <xdr:row>9</xdr:row>
      <xdr:rowOff>110500</xdr:rowOff>
    </xdr:to>
    <xdr:sp macro="" textlink="">
      <xdr:nvSpPr>
        <xdr:cNvPr id="14" name="Rectangle: Rounded Corners 13">
          <a:extLst>
            <a:ext uri="{FF2B5EF4-FFF2-40B4-BE49-F238E27FC236}">
              <a16:creationId xmlns:a16="http://schemas.microsoft.com/office/drawing/2014/main" id="{8CACF53F-D229-4D87-BBC3-9C8F9C16922A}"/>
            </a:ext>
          </a:extLst>
        </xdr:cNvPr>
        <xdr:cNvSpPr/>
      </xdr:nvSpPr>
      <xdr:spPr>
        <a:xfrm>
          <a:off x="2584450" y="774700"/>
          <a:ext cx="2501900" cy="936000"/>
        </a:xfrm>
        <a:prstGeom prst="roundRect">
          <a:avLst>
            <a:gd name="adj" fmla="val 16339"/>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609600</xdr:colOff>
      <xdr:row>4</xdr:row>
      <xdr:rowOff>69850</xdr:rowOff>
    </xdr:from>
    <xdr:to>
      <xdr:col>7</xdr:col>
      <xdr:colOff>330200</xdr:colOff>
      <xdr:row>9</xdr:row>
      <xdr:rowOff>116850</xdr:rowOff>
    </xdr:to>
    <xdr:grpSp>
      <xdr:nvGrpSpPr>
        <xdr:cNvPr id="15" name="Group 14">
          <a:extLst>
            <a:ext uri="{FF2B5EF4-FFF2-40B4-BE49-F238E27FC236}">
              <a16:creationId xmlns:a16="http://schemas.microsoft.com/office/drawing/2014/main" id="{640F935E-629D-4B50-BF82-ED6A08F6DC2A}"/>
            </a:ext>
          </a:extLst>
        </xdr:cNvPr>
        <xdr:cNvGrpSpPr/>
      </xdr:nvGrpSpPr>
      <xdr:grpSpPr>
        <a:xfrm>
          <a:off x="2596243" y="795564"/>
          <a:ext cx="2369457" cy="954143"/>
          <a:chOff x="31750" y="793750"/>
          <a:chExt cx="2362200" cy="936000"/>
        </a:xfrm>
      </xdr:grpSpPr>
      <xdr:sp macro="" textlink="">
        <xdr:nvSpPr>
          <xdr:cNvPr id="16" name="Rectangle: Rounded Corners 15">
            <a:extLst>
              <a:ext uri="{FF2B5EF4-FFF2-40B4-BE49-F238E27FC236}">
                <a16:creationId xmlns:a16="http://schemas.microsoft.com/office/drawing/2014/main" id="{B3070739-0CF1-4F54-ADEE-F69116461A7A}"/>
              </a:ext>
            </a:extLst>
          </xdr:cNvPr>
          <xdr:cNvSpPr/>
        </xdr:nvSpPr>
        <xdr:spPr>
          <a:xfrm>
            <a:off x="31750" y="793750"/>
            <a:ext cx="936000" cy="936000"/>
          </a:xfrm>
          <a:prstGeom prst="roundRect">
            <a:avLst>
              <a:gd name="adj" fmla="val 20229"/>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9D92E2BA-18F9-405C-A5F5-4989364D18A1}"/>
              </a:ext>
            </a:extLst>
          </xdr:cNvPr>
          <xdr:cNvSpPr txBox="1"/>
        </xdr:nvSpPr>
        <xdr:spPr>
          <a:xfrm>
            <a:off x="1092200" y="869950"/>
            <a:ext cx="1301750" cy="336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chemeClr val="accent1">
                    <a:lumMod val="50000"/>
                  </a:schemeClr>
                </a:solidFill>
              </a:rPr>
              <a:t>AVERAGE</a:t>
            </a:r>
            <a:r>
              <a:rPr lang="en-IN" sz="1100" b="1" baseline="0">
                <a:solidFill>
                  <a:schemeClr val="accent1">
                    <a:lumMod val="50000"/>
                  </a:schemeClr>
                </a:solidFill>
              </a:rPr>
              <a:t> SALES</a:t>
            </a:r>
            <a:endParaRPr lang="en-IN" sz="1100" b="1">
              <a:solidFill>
                <a:schemeClr val="accent1">
                  <a:lumMod val="50000"/>
                </a:schemeClr>
              </a:solidFill>
            </a:endParaRPr>
          </a:p>
        </xdr:txBody>
      </xdr:sp>
      <xdr:sp macro="" textlink="SalesData!K9">
        <xdr:nvSpPr>
          <xdr:cNvPr id="18" name="TextBox 17">
            <a:extLst>
              <a:ext uri="{FF2B5EF4-FFF2-40B4-BE49-F238E27FC236}">
                <a16:creationId xmlns:a16="http://schemas.microsoft.com/office/drawing/2014/main" id="{9E23E233-6E23-4858-A0A1-3766F17EF6C2}"/>
              </a:ext>
            </a:extLst>
          </xdr:cNvPr>
          <xdr:cNvSpPr txBox="1"/>
        </xdr:nvSpPr>
        <xdr:spPr>
          <a:xfrm>
            <a:off x="1092200" y="1206500"/>
            <a:ext cx="11239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40BC1D-4FA5-4963-B198-62D1AC449014}" type="TxLink">
              <a:rPr lang="en-US" sz="1100" b="1" i="0" u="none" strike="noStrike">
                <a:solidFill>
                  <a:srgbClr val="000000"/>
                </a:solidFill>
                <a:latin typeface="Aptos Narrow"/>
              </a:rPr>
              <a:pPr algn="ctr"/>
              <a:t> 2,58,890 </a:t>
            </a:fld>
            <a:endParaRPr lang="en-US" sz="1100" b="1"/>
          </a:p>
        </xdr:txBody>
      </xdr:sp>
    </xdr:grpSp>
    <xdr:clientData/>
  </xdr:twoCellAnchor>
  <xdr:twoCellAnchor>
    <xdr:from>
      <xdr:col>7</xdr:col>
      <xdr:colOff>622300</xdr:colOff>
      <xdr:row>4</xdr:row>
      <xdr:rowOff>54428</xdr:rowOff>
    </xdr:from>
    <xdr:to>
      <xdr:col>11</xdr:col>
      <xdr:colOff>356700</xdr:colOff>
      <xdr:row>9</xdr:row>
      <xdr:rowOff>129550</xdr:rowOff>
    </xdr:to>
    <xdr:sp macro="" textlink="">
      <xdr:nvSpPr>
        <xdr:cNvPr id="23" name="Rectangle: Rounded Corners 22">
          <a:extLst>
            <a:ext uri="{FF2B5EF4-FFF2-40B4-BE49-F238E27FC236}">
              <a16:creationId xmlns:a16="http://schemas.microsoft.com/office/drawing/2014/main" id="{ED4A28E5-8773-4BFD-8F38-3989BDF886C0}"/>
            </a:ext>
          </a:extLst>
        </xdr:cNvPr>
        <xdr:cNvSpPr/>
      </xdr:nvSpPr>
      <xdr:spPr>
        <a:xfrm>
          <a:off x="5257800" y="780142"/>
          <a:ext cx="2383257" cy="982265"/>
        </a:xfrm>
        <a:prstGeom prst="roundRect">
          <a:avLst>
            <a:gd name="adj" fmla="val 16339"/>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82551</xdr:colOff>
      <xdr:row>4</xdr:row>
      <xdr:rowOff>69850</xdr:rowOff>
    </xdr:from>
    <xdr:to>
      <xdr:col>15</xdr:col>
      <xdr:colOff>299358</xdr:colOff>
      <xdr:row>9</xdr:row>
      <xdr:rowOff>116850</xdr:rowOff>
    </xdr:to>
    <xdr:sp macro="" textlink="">
      <xdr:nvSpPr>
        <xdr:cNvPr id="24" name="Rectangle: Rounded Corners 23">
          <a:extLst>
            <a:ext uri="{FF2B5EF4-FFF2-40B4-BE49-F238E27FC236}">
              <a16:creationId xmlns:a16="http://schemas.microsoft.com/office/drawing/2014/main" id="{5F3AC39A-9778-4567-8FF6-AC201940EB1A}"/>
            </a:ext>
          </a:extLst>
        </xdr:cNvPr>
        <xdr:cNvSpPr/>
      </xdr:nvSpPr>
      <xdr:spPr>
        <a:xfrm>
          <a:off x="8029122" y="795564"/>
          <a:ext cx="2203450" cy="954143"/>
        </a:xfrm>
        <a:prstGeom prst="roundRect">
          <a:avLst>
            <a:gd name="adj" fmla="val 16339"/>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628650</xdr:colOff>
      <xdr:row>4</xdr:row>
      <xdr:rowOff>88900</xdr:rowOff>
    </xdr:from>
    <xdr:to>
      <xdr:col>11</xdr:col>
      <xdr:colOff>114300</xdr:colOff>
      <xdr:row>9</xdr:row>
      <xdr:rowOff>135900</xdr:rowOff>
    </xdr:to>
    <xdr:grpSp>
      <xdr:nvGrpSpPr>
        <xdr:cNvPr id="25" name="Group 24">
          <a:extLst>
            <a:ext uri="{FF2B5EF4-FFF2-40B4-BE49-F238E27FC236}">
              <a16:creationId xmlns:a16="http://schemas.microsoft.com/office/drawing/2014/main" id="{C384A322-EC2A-49CF-8065-FA0DB4162D35}"/>
            </a:ext>
          </a:extLst>
        </xdr:cNvPr>
        <xdr:cNvGrpSpPr/>
      </xdr:nvGrpSpPr>
      <xdr:grpSpPr>
        <a:xfrm>
          <a:off x="5264150" y="814614"/>
          <a:ext cx="2134507" cy="954143"/>
          <a:chOff x="31750" y="793750"/>
          <a:chExt cx="2127250" cy="936000"/>
        </a:xfrm>
      </xdr:grpSpPr>
      <xdr:sp macro="" textlink="">
        <xdr:nvSpPr>
          <xdr:cNvPr id="26" name="Rectangle: Rounded Corners 25">
            <a:extLst>
              <a:ext uri="{FF2B5EF4-FFF2-40B4-BE49-F238E27FC236}">
                <a16:creationId xmlns:a16="http://schemas.microsoft.com/office/drawing/2014/main" id="{4B923D3A-227F-493D-B336-40CCD556CB28}"/>
              </a:ext>
            </a:extLst>
          </xdr:cNvPr>
          <xdr:cNvSpPr/>
        </xdr:nvSpPr>
        <xdr:spPr>
          <a:xfrm>
            <a:off x="31750" y="793750"/>
            <a:ext cx="936000" cy="936000"/>
          </a:xfrm>
          <a:prstGeom prst="roundRect">
            <a:avLst>
              <a:gd name="adj" fmla="val 20229"/>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6C46FAB7-C16D-4596-8A71-7C4991BAAF1D}"/>
              </a:ext>
            </a:extLst>
          </xdr:cNvPr>
          <xdr:cNvSpPr txBox="1"/>
        </xdr:nvSpPr>
        <xdr:spPr>
          <a:xfrm>
            <a:off x="1092200" y="869950"/>
            <a:ext cx="1066800" cy="20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chemeClr val="accent1">
                    <a:lumMod val="50000"/>
                  </a:schemeClr>
                </a:solidFill>
              </a:rPr>
              <a:t>UNIT</a:t>
            </a:r>
            <a:r>
              <a:rPr lang="en-IN" sz="1100" b="1" baseline="0">
                <a:solidFill>
                  <a:schemeClr val="accent1">
                    <a:lumMod val="50000"/>
                  </a:schemeClr>
                </a:solidFill>
              </a:rPr>
              <a:t> SOLD</a:t>
            </a:r>
            <a:endParaRPr lang="en-IN" sz="1100" b="1">
              <a:solidFill>
                <a:schemeClr val="accent1">
                  <a:lumMod val="50000"/>
                </a:schemeClr>
              </a:solidFill>
            </a:endParaRPr>
          </a:p>
        </xdr:txBody>
      </xdr:sp>
      <xdr:sp macro="" textlink="SalesData!K5">
        <xdr:nvSpPr>
          <xdr:cNvPr id="28" name="TextBox 27">
            <a:extLst>
              <a:ext uri="{FF2B5EF4-FFF2-40B4-BE49-F238E27FC236}">
                <a16:creationId xmlns:a16="http://schemas.microsoft.com/office/drawing/2014/main" id="{E6241941-F16C-4DD3-89D3-FC82EAB08303}"/>
              </a:ext>
            </a:extLst>
          </xdr:cNvPr>
          <xdr:cNvSpPr txBox="1"/>
        </xdr:nvSpPr>
        <xdr:spPr>
          <a:xfrm>
            <a:off x="984250" y="1181100"/>
            <a:ext cx="11239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BF83E2-23EC-41EE-B726-B8F72DCF378B}" type="TxLink">
              <a:rPr lang="en-US" sz="1100" b="1" i="0" u="none" strike="noStrike">
                <a:solidFill>
                  <a:srgbClr val="000000"/>
                </a:solidFill>
                <a:latin typeface="Aptos Narrow"/>
              </a:rPr>
              <a:pPr algn="ctr"/>
              <a:t>4705</a:t>
            </a:fld>
            <a:endParaRPr lang="en-US" sz="1100" b="1"/>
          </a:p>
        </xdr:txBody>
      </xdr:sp>
    </xdr:grpSp>
    <xdr:clientData/>
  </xdr:twoCellAnchor>
  <xdr:twoCellAnchor>
    <xdr:from>
      <xdr:col>11</xdr:col>
      <xdr:colOff>546099</xdr:colOff>
      <xdr:row>4</xdr:row>
      <xdr:rowOff>73479</xdr:rowOff>
    </xdr:from>
    <xdr:to>
      <xdr:col>15</xdr:col>
      <xdr:colOff>278685</xdr:colOff>
      <xdr:row>9</xdr:row>
      <xdr:rowOff>120479</xdr:rowOff>
    </xdr:to>
    <xdr:sp macro="" textlink="">
      <xdr:nvSpPr>
        <xdr:cNvPr id="29" name="Rectangle: Rounded Corners 28">
          <a:extLst>
            <a:ext uri="{FF2B5EF4-FFF2-40B4-BE49-F238E27FC236}">
              <a16:creationId xmlns:a16="http://schemas.microsoft.com/office/drawing/2014/main" id="{A8A1A106-4924-4747-BE40-294E766BCCF4}"/>
            </a:ext>
          </a:extLst>
        </xdr:cNvPr>
        <xdr:cNvSpPr/>
      </xdr:nvSpPr>
      <xdr:spPr>
        <a:xfrm>
          <a:off x="7830456" y="799193"/>
          <a:ext cx="2381443" cy="954143"/>
        </a:xfrm>
        <a:prstGeom prst="roundRect">
          <a:avLst>
            <a:gd name="adj" fmla="val 16339"/>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536121</xdr:colOff>
      <xdr:row>4</xdr:row>
      <xdr:rowOff>91621</xdr:rowOff>
    </xdr:from>
    <xdr:to>
      <xdr:col>15</xdr:col>
      <xdr:colOff>99786</xdr:colOff>
      <xdr:row>9</xdr:row>
      <xdr:rowOff>138621</xdr:rowOff>
    </xdr:to>
    <xdr:grpSp>
      <xdr:nvGrpSpPr>
        <xdr:cNvPr id="30" name="Group 29">
          <a:extLst>
            <a:ext uri="{FF2B5EF4-FFF2-40B4-BE49-F238E27FC236}">
              <a16:creationId xmlns:a16="http://schemas.microsoft.com/office/drawing/2014/main" id="{BA84A445-CE9E-4478-AB53-1D7038AB3220}"/>
            </a:ext>
          </a:extLst>
        </xdr:cNvPr>
        <xdr:cNvGrpSpPr/>
      </xdr:nvGrpSpPr>
      <xdr:grpSpPr>
        <a:xfrm>
          <a:off x="7820478" y="817335"/>
          <a:ext cx="2212522" cy="954143"/>
          <a:chOff x="31750" y="793750"/>
          <a:chExt cx="2127250" cy="936000"/>
        </a:xfrm>
      </xdr:grpSpPr>
      <xdr:sp macro="" textlink="">
        <xdr:nvSpPr>
          <xdr:cNvPr id="31" name="Rectangle: Rounded Corners 30">
            <a:extLst>
              <a:ext uri="{FF2B5EF4-FFF2-40B4-BE49-F238E27FC236}">
                <a16:creationId xmlns:a16="http://schemas.microsoft.com/office/drawing/2014/main" id="{6B1B8B11-DAE8-45B5-9E98-7F24C16888F5}"/>
              </a:ext>
            </a:extLst>
          </xdr:cNvPr>
          <xdr:cNvSpPr/>
        </xdr:nvSpPr>
        <xdr:spPr>
          <a:xfrm>
            <a:off x="31750" y="793750"/>
            <a:ext cx="936000" cy="936000"/>
          </a:xfrm>
          <a:prstGeom prst="roundRect">
            <a:avLst>
              <a:gd name="adj" fmla="val 20229"/>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8A464640-A587-41AD-84D6-947B705AED66}"/>
              </a:ext>
            </a:extLst>
          </xdr:cNvPr>
          <xdr:cNvSpPr txBox="1"/>
        </xdr:nvSpPr>
        <xdr:spPr>
          <a:xfrm>
            <a:off x="1092200" y="869950"/>
            <a:ext cx="1066800" cy="20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chemeClr val="accent1">
                    <a:lumMod val="50000"/>
                  </a:schemeClr>
                </a:solidFill>
              </a:rPr>
              <a:t>PROFIT</a:t>
            </a:r>
          </a:p>
        </xdr:txBody>
      </xdr:sp>
      <xdr:sp macro="" textlink="SalesData!K7">
        <xdr:nvSpPr>
          <xdr:cNvPr id="33" name="TextBox 32">
            <a:extLst>
              <a:ext uri="{FF2B5EF4-FFF2-40B4-BE49-F238E27FC236}">
                <a16:creationId xmlns:a16="http://schemas.microsoft.com/office/drawing/2014/main" id="{8F21847A-2AF1-43D9-B850-30D51F225F12}"/>
              </a:ext>
            </a:extLst>
          </xdr:cNvPr>
          <xdr:cNvSpPr txBox="1"/>
        </xdr:nvSpPr>
        <xdr:spPr>
          <a:xfrm>
            <a:off x="1028700" y="1193800"/>
            <a:ext cx="11239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B0816A-0F1C-4D24-ADED-3F3E47160938}" type="TxLink">
              <a:rPr lang="en-US" sz="1100" b="1" i="0" u="none" strike="noStrike">
                <a:solidFill>
                  <a:srgbClr val="000000"/>
                </a:solidFill>
                <a:latin typeface="Aptos Narrow"/>
              </a:rPr>
              <a:pPr algn="ctr"/>
              <a:t> 38,34,400 </a:t>
            </a:fld>
            <a:endParaRPr lang="en-US" sz="1100" b="1"/>
          </a:p>
        </xdr:txBody>
      </xdr:sp>
    </xdr:grpSp>
    <xdr:clientData/>
  </xdr:twoCellAnchor>
  <xdr:twoCellAnchor editAs="oneCell">
    <xdr:from>
      <xdr:col>8</xdr:col>
      <xdr:colOff>254000</xdr:colOff>
      <xdr:row>5</xdr:row>
      <xdr:rowOff>127000</xdr:rowOff>
    </xdr:from>
    <xdr:to>
      <xdr:col>8</xdr:col>
      <xdr:colOff>614000</xdr:colOff>
      <xdr:row>7</xdr:row>
      <xdr:rowOff>131400</xdr:rowOff>
    </xdr:to>
    <xdr:pic>
      <xdr:nvPicPr>
        <xdr:cNvPr id="35" name="Graphic 34" descr="Group of people with solid fill">
          <a:extLst>
            <a:ext uri="{FF2B5EF4-FFF2-40B4-BE49-F238E27FC236}">
              <a16:creationId xmlns:a16="http://schemas.microsoft.com/office/drawing/2014/main" id="{52D87A4D-0478-49CD-97C2-CBC107F273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537200" y="1016000"/>
          <a:ext cx="360000" cy="360000"/>
        </a:xfrm>
        <a:prstGeom prst="rect">
          <a:avLst/>
        </a:prstGeom>
      </xdr:spPr>
    </xdr:pic>
    <xdr:clientData/>
  </xdr:twoCellAnchor>
  <xdr:twoCellAnchor editAs="oneCell">
    <xdr:from>
      <xdr:col>0</xdr:col>
      <xdr:colOff>334150</xdr:colOff>
      <xdr:row>5</xdr:row>
      <xdr:rowOff>143650</xdr:rowOff>
    </xdr:from>
    <xdr:to>
      <xdr:col>1</xdr:col>
      <xdr:colOff>33750</xdr:colOff>
      <xdr:row>7</xdr:row>
      <xdr:rowOff>148050</xdr:rowOff>
    </xdr:to>
    <xdr:pic>
      <xdr:nvPicPr>
        <xdr:cNvPr id="37" name="Graphic 36" descr="Money with solid fill">
          <a:extLst>
            <a:ext uri="{FF2B5EF4-FFF2-40B4-BE49-F238E27FC236}">
              <a16:creationId xmlns:a16="http://schemas.microsoft.com/office/drawing/2014/main" id="{ABA728F1-C726-41B7-80A0-29A2DBBAAA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34150" y="1032650"/>
          <a:ext cx="360000" cy="360000"/>
        </a:xfrm>
        <a:prstGeom prst="rect">
          <a:avLst/>
        </a:prstGeom>
      </xdr:spPr>
    </xdr:pic>
    <xdr:clientData/>
  </xdr:twoCellAnchor>
  <xdr:twoCellAnchor editAs="oneCell">
    <xdr:from>
      <xdr:col>4</xdr:col>
      <xdr:colOff>230150</xdr:colOff>
      <xdr:row>6</xdr:row>
      <xdr:rowOff>1550</xdr:rowOff>
    </xdr:from>
    <xdr:to>
      <xdr:col>4</xdr:col>
      <xdr:colOff>590150</xdr:colOff>
      <xdr:row>8</xdr:row>
      <xdr:rowOff>5950</xdr:rowOff>
    </xdr:to>
    <xdr:pic>
      <xdr:nvPicPr>
        <xdr:cNvPr id="39" name="Graphic 38" descr="Coins with solid fill">
          <a:extLst>
            <a:ext uri="{FF2B5EF4-FFF2-40B4-BE49-F238E27FC236}">
              <a16:creationId xmlns:a16="http://schemas.microsoft.com/office/drawing/2014/main" id="{F12C1511-A45F-44B7-A8F9-21903DFED64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871750" y="1068350"/>
          <a:ext cx="360000" cy="360000"/>
        </a:xfrm>
        <a:prstGeom prst="rect">
          <a:avLst/>
        </a:prstGeom>
      </xdr:spPr>
    </xdr:pic>
    <xdr:clientData/>
  </xdr:twoCellAnchor>
  <xdr:twoCellAnchor editAs="oneCell">
    <xdr:from>
      <xdr:col>12</xdr:col>
      <xdr:colOff>273107</xdr:colOff>
      <xdr:row>5</xdr:row>
      <xdr:rowOff>164250</xdr:rowOff>
    </xdr:from>
    <xdr:to>
      <xdr:col>12</xdr:col>
      <xdr:colOff>634922</xdr:colOff>
      <xdr:row>7</xdr:row>
      <xdr:rowOff>168650</xdr:rowOff>
    </xdr:to>
    <xdr:pic>
      <xdr:nvPicPr>
        <xdr:cNvPr id="41" name="Graphic 40" descr="Upward trend with solid fill">
          <a:extLst>
            <a:ext uri="{FF2B5EF4-FFF2-40B4-BE49-F238E27FC236}">
              <a16:creationId xmlns:a16="http://schemas.microsoft.com/office/drawing/2014/main" id="{E92036C6-7B2B-4ECC-A633-010419C5076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8219678" y="1071393"/>
          <a:ext cx="361815" cy="367257"/>
        </a:xfrm>
        <a:prstGeom prst="rect">
          <a:avLst/>
        </a:prstGeom>
      </xdr:spPr>
    </xdr:pic>
    <xdr:clientData/>
  </xdr:twoCellAnchor>
  <xdr:twoCellAnchor>
    <xdr:from>
      <xdr:col>5</xdr:col>
      <xdr:colOff>489090</xdr:colOff>
      <xdr:row>0</xdr:row>
      <xdr:rowOff>38728</xdr:rowOff>
    </xdr:from>
    <xdr:to>
      <xdr:col>14</xdr:col>
      <xdr:colOff>431940</xdr:colOff>
      <xdr:row>4</xdr:row>
      <xdr:rowOff>6978</xdr:rowOff>
    </xdr:to>
    <xdr:sp macro="" textlink="">
      <xdr:nvSpPr>
        <xdr:cNvPr id="42" name="TextBox 41">
          <a:extLst>
            <a:ext uri="{FF2B5EF4-FFF2-40B4-BE49-F238E27FC236}">
              <a16:creationId xmlns:a16="http://schemas.microsoft.com/office/drawing/2014/main" id="{A2CA59B2-7A38-4A27-87F4-EA15E244B63A}"/>
            </a:ext>
          </a:extLst>
        </xdr:cNvPr>
        <xdr:cNvSpPr txBox="1"/>
      </xdr:nvSpPr>
      <xdr:spPr>
        <a:xfrm>
          <a:off x="3803650" y="38728"/>
          <a:ext cx="5909059" cy="6660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accent1">
                  <a:lumMod val="50000"/>
                </a:schemeClr>
              </a:solidFill>
            </a:rPr>
            <a:t>SALES</a:t>
          </a:r>
          <a:r>
            <a:rPr lang="en-IN" sz="3600" b="1" baseline="0">
              <a:solidFill>
                <a:schemeClr val="accent1">
                  <a:lumMod val="50000"/>
                </a:schemeClr>
              </a:solidFill>
            </a:rPr>
            <a:t> DASHBOARD -2025</a:t>
          </a:r>
          <a:endParaRPr lang="en-IN" sz="3600" b="1">
            <a:solidFill>
              <a:schemeClr val="accent1">
                <a:lumMod val="50000"/>
              </a:schemeClr>
            </a:solidFill>
          </a:endParaRPr>
        </a:p>
      </xdr:txBody>
    </xdr:sp>
    <xdr:clientData/>
  </xdr:twoCellAnchor>
  <xdr:twoCellAnchor editAs="oneCell">
    <xdr:from>
      <xdr:col>4</xdr:col>
      <xdr:colOff>455456</xdr:colOff>
      <xdr:row>0</xdr:row>
      <xdr:rowOff>25400</xdr:rowOff>
    </xdr:from>
    <xdr:to>
      <xdr:col>5</xdr:col>
      <xdr:colOff>479056</xdr:colOff>
      <xdr:row>4</xdr:row>
      <xdr:rowOff>1550</xdr:rowOff>
    </xdr:to>
    <xdr:pic>
      <xdr:nvPicPr>
        <xdr:cNvPr id="44" name="Graphic 43" descr="Bullseye with solid fill">
          <a:extLst>
            <a:ext uri="{FF2B5EF4-FFF2-40B4-BE49-F238E27FC236}">
              <a16:creationId xmlns:a16="http://schemas.microsoft.com/office/drawing/2014/main" id="{50A9FEB0-ADE2-41D7-90A3-FF5D6816A13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107104" y="25400"/>
          <a:ext cx="686512" cy="673952"/>
        </a:xfrm>
        <a:prstGeom prst="rect">
          <a:avLst/>
        </a:prstGeom>
      </xdr:spPr>
    </xdr:pic>
    <xdr:clientData/>
  </xdr:twoCellAnchor>
  <xdr:twoCellAnchor editAs="oneCell">
    <xdr:from>
      <xdr:col>16</xdr:col>
      <xdr:colOff>0</xdr:colOff>
      <xdr:row>5</xdr:row>
      <xdr:rowOff>12700</xdr:rowOff>
    </xdr:from>
    <xdr:to>
      <xdr:col>19</xdr:col>
      <xdr:colOff>19050</xdr:colOff>
      <xdr:row>9</xdr:row>
      <xdr:rowOff>38100</xdr:rowOff>
    </xdr:to>
    <mc:AlternateContent xmlns:mc="http://schemas.openxmlformats.org/markup-compatibility/2006" xmlns:a14="http://schemas.microsoft.com/office/drawing/2010/main">
      <mc:Choice Requires="a14">
        <xdr:graphicFrame macro="">
          <xdr:nvGraphicFramePr>
            <xdr:cNvPr id="45" name="Region 1">
              <a:extLst>
                <a:ext uri="{FF2B5EF4-FFF2-40B4-BE49-F238E27FC236}">
                  <a16:creationId xmlns:a16="http://schemas.microsoft.com/office/drawing/2014/main" id="{02E5A20B-421E-4127-8E84-A44C402F301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595429" y="919843"/>
              <a:ext cx="2005692" cy="751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83737</xdr:colOff>
      <xdr:row>9</xdr:row>
      <xdr:rowOff>153517</xdr:rowOff>
    </xdr:from>
    <xdr:to>
      <xdr:col>2</xdr:col>
      <xdr:colOff>586713</xdr:colOff>
      <xdr:row>22</xdr:row>
      <xdr:rowOff>97691</xdr:rowOff>
    </xdr:to>
    <mc:AlternateContent xmlns:mc="http://schemas.openxmlformats.org/markup-compatibility/2006" xmlns:a14="http://schemas.microsoft.com/office/drawing/2010/main">
      <mc:Choice Requires="a14">
        <xdr:graphicFrame macro="">
          <xdr:nvGraphicFramePr>
            <xdr:cNvPr id="34" name="Product 1">
              <a:extLst>
                <a:ext uri="{FF2B5EF4-FFF2-40B4-BE49-F238E27FC236}">
                  <a16:creationId xmlns:a16="http://schemas.microsoft.com/office/drawing/2014/main" id="{7BE7C067-6609-43F4-BF6D-EB347A41E86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3737" y="1786374"/>
              <a:ext cx="1827405" cy="2302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90714</xdr:colOff>
      <xdr:row>22</xdr:row>
      <xdr:rowOff>118627</xdr:rowOff>
    </xdr:from>
    <xdr:to>
      <xdr:col>2</xdr:col>
      <xdr:colOff>593690</xdr:colOff>
      <xdr:row>40</xdr:row>
      <xdr:rowOff>0</xdr:rowOff>
    </xdr:to>
    <mc:AlternateContent xmlns:mc="http://schemas.openxmlformats.org/markup-compatibility/2006" xmlns:a14="http://schemas.microsoft.com/office/drawing/2010/main">
      <mc:Choice Requires="a14">
        <xdr:graphicFrame macro="">
          <xdr:nvGraphicFramePr>
            <xdr:cNvPr id="36" name="Sales Person 1">
              <a:extLst>
                <a:ext uri="{FF2B5EF4-FFF2-40B4-BE49-F238E27FC236}">
                  <a16:creationId xmlns:a16="http://schemas.microsoft.com/office/drawing/2014/main" id="{F4620B06-EBB6-495E-98D6-85E59BAC26DF}"/>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90714" y="4110056"/>
              <a:ext cx="1827405" cy="3147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607087</xdr:colOff>
      <xdr:row>9</xdr:row>
      <xdr:rowOff>146538</xdr:rowOff>
    </xdr:from>
    <xdr:to>
      <xdr:col>19</xdr:col>
      <xdr:colOff>55825</xdr:colOff>
      <xdr:row>40</xdr:row>
      <xdr:rowOff>27913</xdr:rowOff>
    </xdr:to>
    <xdr:sp macro="" textlink="">
      <xdr:nvSpPr>
        <xdr:cNvPr id="38" name="Rectangle: Rounded Corners 37">
          <a:extLst>
            <a:ext uri="{FF2B5EF4-FFF2-40B4-BE49-F238E27FC236}">
              <a16:creationId xmlns:a16="http://schemas.microsoft.com/office/drawing/2014/main" id="{8CD2F2D9-844B-41C9-A12F-CC82C58C8808}"/>
            </a:ext>
          </a:extLst>
        </xdr:cNvPr>
        <xdr:cNvSpPr/>
      </xdr:nvSpPr>
      <xdr:spPr>
        <a:xfrm>
          <a:off x="1932911" y="1716593"/>
          <a:ext cx="10718244" cy="5289342"/>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648956</xdr:colOff>
      <xdr:row>10</xdr:row>
      <xdr:rowOff>6978</xdr:rowOff>
    </xdr:from>
    <xdr:to>
      <xdr:col>10</xdr:col>
      <xdr:colOff>474506</xdr:colOff>
      <xdr:row>22</xdr:row>
      <xdr:rowOff>132583</xdr:rowOff>
    </xdr:to>
    <xdr:graphicFrame macro="">
      <xdr:nvGraphicFramePr>
        <xdr:cNvPr id="48" name="Chart 47">
          <a:extLst>
            <a:ext uri="{FF2B5EF4-FFF2-40B4-BE49-F238E27FC236}">
              <a16:creationId xmlns:a16="http://schemas.microsoft.com/office/drawing/2014/main" id="{39E245E0-DFDB-45E9-B233-FDCE3CE49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551264</xdr:colOff>
      <xdr:row>10</xdr:row>
      <xdr:rowOff>13956</xdr:rowOff>
    </xdr:from>
    <xdr:to>
      <xdr:col>18</xdr:col>
      <xdr:colOff>600109</xdr:colOff>
      <xdr:row>22</xdr:row>
      <xdr:rowOff>132583</xdr:rowOff>
    </xdr:to>
    <xdr:graphicFrame macro="">
      <xdr:nvGraphicFramePr>
        <xdr:cNvPr id="49" name="Chart 48">
          <a:extLst>
            <a:ext uri="{FF2B5EF4-FFF2-40B4-BE49-F238E27FC236}">
              <a16:creationId xmlns:a16="http://schemas.microsoft.com/office/drawing/2014/main" id="{60C2AC26-A141-46CE-AF8C-6F5E9AF57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648954</xdr:colOff>
      <xdr:row>23</xdr:row>
      <xdr:rowOff>20934</xdr:rowOff>
    </xdr:from>
    <xdr:to>
      <xdr:col>10</xdr:col>
      <xdr:colOff>509395</xdr:colOff>
      <xdr:row>40</xdr:row>
      <xdr:rowOff>6978</xdr:rowOff>
    </xdr:to>
    <xdr:graphicFrame macro="">
      <xdr:nvGraphicFramePr>
        <xdr:cNvPr id="50" name="Chart 49">
          <a:extLst>
            <a:ext uri="{FF2B5EF4-FFF2-40B4-BE49-F238E27FC236}">
              <a16:creationId xmlns:a16="http://schemas.microsoft.com/office/drawing/2014/main" id="{C1445050-B8E8-4172-A932-588F38CAF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467527</xdr:colOff>
      <xdr:row>22</xdr:row>
      <xdr:rowOff>153517</xdr:rowOff>
    </xdr:from>
    <xdr:to>
      <xdr:col>19</xdr:col>
      <xdr:colOff>55823</xdr:colOff>
      <xdr:row>40</xdr:row>
      <xdr:rowOff>6978</xdr:rowOff>
    </xdr:to>
    <xdr:graphicFrame macro="">
      <xdr:nvGraphicFramePr>
        <xdr:cNvPr id="51" name="Chart 50">
          <a:extLst>
            <a:ext uri="{FF2B5EF4-FFF2-40B4-BE49-F238E27FC236}">
              <a16:creationId xmlns:a16="http://schemas.microsoft.com/office/drawing/2014/main" id="{D1CB546A-B961-4776-A7FF-0AECA7B51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102973</xdr:colOff>
      <xdr:row>10</xdr:row>
      <xdr:rowOff>77230</xdr:rowOff>
    </xdr:from>
    <xdr:to>
      <xdr:col>5</xdr:col>
      <xdr:colOff>377568</xdr:colOff>
      <xdr:row>11</xdr:row>
      <xdr:rowOff>102973</xdr:rowOff>
    </xdr:to>
    <xdr:sp macro="" textlink="">
      <xdr:nvSpPr>
        <xdr:cNvPr id="9" name="TextBox 8">
          <a:extLst>
            <a:ext uri="{FF2B5EF4-FFF2-40B4-BE49-F238E27FC236}">
              <a16:creationId xmlns:a16="http://schemas.microsoft.com/office/drawing/2014/main" id="{268F7E57-18C9-4639-B3DD-7E795CE182FA}"/>
            </a:ext>
          </a:extLst>
        </xdr:cNvPr>
        <xdr:cNvSpPr txBox="1"/>
      </xdr:nvSpPr>
      <xdr:spPr>
        <a:xfrm>
          <a:off x="2085203" y="1879257"/>
          <a:ext cx="1596081" cy="2059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rPr>
            <a:t>Unit</a:t>
          </a:r>
          <a:r>
            <a:rPr lang="en-IN" sz="1100" b="1" baseline="0">
              <a:solidFill>
                <a:schemeClr val="accent1">
                  <a:lumMod val="50000"/>
                </a:schemeClr>
              </a:solidFill>
            </a:rPr>
            <a:t> Sold by Product</a:t>
          </a:r>
          <a:endParaRPr lang="en-IN" sz="1100" b="1">
            <a:solidFill>
              <a:schemeClr val="accent1">
                <a:lumMod val="50000"/>
              </a:schemeClr>
            </a:solidFill>
          </a:endParaRPr>
        </a:p>
      </xdr:txBody>
    </xdr:sp>
    <xdr:clientData/>
  </xdr:twoCellAnchor>
  <xdr:twoCellAnchor>
    <xdr:from>
      <xdr:col>3</xdr:col>
      <xdr:colOff>8581</xdr:colOff>
      <xdr:row>23</xdr:row>
      <xdr:rowOff>0</xdr:rowOff>
    </xdr:from>
    <xdr:to>
      <xdr:col>5</xdr:col>
      <xdr:colOff>437635</xdr:colOff>
      <xdr:row>24</xdr:row>
      <xdr:rowOff>17162</xdr:rowOff>
    </xdr:to>
    <xdr:sp macro="" textlink="">
      <xdr:nvSpPr>
        <xdr:cNvPr id="10" name="TextBox 9">
          <a:extLst>
            <a:ext uri="{FF2B5EF4-FFF2-40B4-BE49-F238E27FC236}">
              <a16:creationId xmlns:a16="http://schemas.microsoft.com/office/drawing/2014/main" id="{41BE6103-60E0-4E03-88CC-F44884E9B871}"/>
            </a:ext>
          </a:extLst>
        </xdr:cNvPr>
        <xdr:cNvSpPr txBox="1"/>
      </xdr:nvSpPr>
      <xdr:spPr>
        <a:xfrm>
          <a:off x="1990811" y="4144662"/>
          <a:ext cx="1750540" cy="1973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rPr>
            <a:t>Total Sales by</a:t>
          </a:r>
          <a:r>
            <a:rPr lang="en-IN" sz="1100" b="1" baseline="0">
              <a:solidFill>
                <a:schemeClr val="accent1">
                  <a:lumMod val="50000"/>
                </a:schemeClr>
              </a:solidFill>
            </a:rPr>
            <a:t> Product</a:t>
          </a:r>
          <a:endParaRPr lang="en-IN" sz="1100" b="1">
            <a:solidFill>
              <a:schemeClr val="accent1">
                <a:lumMod val="50000"/>
              </a:schemeClr>
            </a:solidFill>
          </a:endParaRPr>
        </a:p>
      </xdr:txBody>
    </xdr:sp>
    <xdr:clientData/>
  </xdr:twoCellAnchor>
  <xdr:twoCellAnchor>
    <xdr:from>
      <xdr:col>10</xdr:col>
      <xdr:colOff>566352</xdr:colOff>
      <xdr:row>23</xdr:row>
      <xdr:rowOff>8581</xdr:rowOff>
    </xdr:from>
    <xdr:to>
      <xdr:col>14</xdr:col>
      <xdr:colOff>51487</xdr:colOff>
      <xdr:row>25</xdr:row>
      <xdr:rowOff>85810</xdr:rowOff>
    </xdr:to>
    <xdr:sp macro="" textlink="">
      <xdr:nvSpPr>
        <xdr:cNvPr id="11" name="TextBox 10">
          <a:extLst>
            <a:ext uri="{FF2B5EF4-FFF2-40B4-BE49-F238E27FC236}">
              <a16:creationId xmlns:a16="http://schemas.microsoft.com/office/drawing/2014/main" id="{31EC9302-4F61-4E2D-9517-6AF3C6207098}"/>
            </a:ext>
          </a:extLst>
        </xdr:cNvPr>
        <xdr:cNvSpPr txBox="1"/>
      </xdr:nvSpPr>
      <xdr:spPr>
        <a:xfrm>
          <a:off x="7173784" y="4153243"/>
          <a:ext cx="2128108" cy="437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rPr>
            <a:t>Total Sales by Sales Person </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0.02774</cdr:y>
    </cdr:from>
    <cdr:to>
      <cdr:x>0.32814</cdr:x>
      <cdr:y>0.14812</cdr:y>
    </cdr:to>
    <cdr:sp macro="" textlink="">
      <cdr:nvSpPr>
        <cdr:cNvPr id="2" name="TextBox 1">
          <a:extLst xmlns:a="http://schemas.openxmlformats.org/drawingml/2006/main">
            <a:ext uri="{FF2B5EF4-FFF2-40B4-BE49-F238E27FC236}">
              <a16:creationId xmlns:a16="http://schemas.microsoft.com/office/drawing/2014/main" id="{07341A2A-ECAF-49F2-8B68-2D2D1F7F8097}"/>
            </a:ext>
          </a:extLst>
        </cdr:cNvPr>
        <cdr:cNvSpPr txBox="1"/>
      </cdr:nvSpPr>
      <cdr:spPr>
        <a:xfrm xmlns:a="http://schemas.openxmlformats.org/drawingml/2006/main">
          <a:off x="0" y="63274"/>
          <a:ext cx="1750540" cy="2745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a:solidFill>
                <a:schemeClr val="accent1">
                  <a:lumMod val="50000"/>
                </a:schemeClr>
              </a:solidFill>
            </a:rPr>
            <a:t>Total Sales</a:t>
          </a:r>
          <a:r>
            <a:rPr lang="en-IN" sz="1100" b="1" baseline="0">
              <a:solidFill>
                <a:schemeClr val="accent1">
                  <a:lumMod val="50000"/>
                </a:schemeClr>
              </a:solidFill>
            </a:rPr>
            <a:t> by Region</a:t>
          </a:r>
          <a:endParaRPr lang="en-IN" sz="1100" b="1">
            <a:solidFill>
              <a:schemeClr val="accent1">
                <a:lumMod val="50000"/>
              </a:schemeClr>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8</xdr:row>
      <xdr:rowOff>50800</xdr:rowOff>
    </xdr:from>
    <xdr:to>
      <xdr:col>4</xdr:col>
      <xdr:colOff>647700</xdr:colOff>
      <xdr:row>23</xdr:row>
      <xdr:rowOff>127000</xdr:rowOff>
    </xdr:to>
    <xdr:graphicFrame macro="">
      <xdr:nvGraphicFramePr>
        <xdr:cNvPr id="2" name="Chart 1">
          <a:extLst>
            <a:ext uri="{FF2B5EF4-FFF2-40B4-BE49-F238E27FC236}">
              <a16:creationId xmlns:a16="http://schemas.microsoft.com/office/drawing/2014/main" id="{BADADE08-2601-4282-942B-FDB09BF8A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647700</xdr:colOff>
      <xdr:row>29</xdr:row>
      <xdr:rowOff>120650</xdr:rowOff>
    </xdr:from>
    <xdr:to>
      <xdr:col>9</xdr:col>
      <xdr:colOff>342900</xdr:colOff>
      <xdr:row>45</xdr:row>
      <xdr:rowOff>19050</xdr:rowOff>
    </xdr:to>
    <xdr:graphicFrame macro="">
      <xdr:nvGraphicFramePr>
        <xdr:cNvPr id="3" name="Chart 2">
          <a:extLst>
            <a:ext uri="{FF2B5EF4-FFF2-40B4-BE49-F238E27FC236}">
              <a16:creationId xmlns:a16="http://schemas.microsoft.com/office/drawing/2014/main" id="{0F9E8EDA-8A2F-4955-85FA-91330DF31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107950</xdr:rowOff>
    </xdr:from>
    <xdr:to>
      <xdr:col>4</xdr:col>
      <xdr:colOff>590550</xdr:colOff>
      <xdr:row>39</xdr:row>
      <xdr:rowOff>6350</xdr:rowOff>
    </xdr:to>
    <xdr:graphicFrame macro="">
      <xdr:nvGraphicFramePr>
        <xdr:cNvPr id="4" name="Chart 3">
          <a:extLst>
            <a:ext uri="{FF2B5EF4-FFF2-40B4-BE49-F238E27FC236}">
              <a16:creationId xmlns:a16="http://schemas.microsoft.com/office/drawing/2014/main" id="{EC6A9683-7F0F-4699-BB80-2B05F749D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660400</xdr:colOff>
      <xdr:row>14</xdr:row>
      <xdr:rowOff>25400</xdr:rowOff>
    </xdr:from>
    <xdr:to>
      <xdr:col>10</xdr:col>
      <xdr:colOff>882650</xdr:colOff>
      <xdr:row>29</xdr:row>
      <xdr:rowOff>101600</xdr:rowOff>
    </xdr:to>
    <xdr:graphicFrame macro="">
      <xdr:nvGraphicFramePr>
        <xdr:cNvPr id="5" name="Chart 4">
          <a:extLst>
            <a:ext uri="{FF2B5EF4-FFF2-40B4-BE49-F238E27FC236}">
              <a16:creationId xmlns:a16="http://schemas.microsoft.com/office/drawing/2014/main" id="{5F8ED5B1-0DE0-4BD0-B651-15C6AC10C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908050</xdr:colOff>
      <xdr:row>14</xdr:row>
      <xdr:rowOff>12700</xdr:rowOff>
    </xdr:from>
    <xdr:to>
      <xdr:col>13</xdr:col>
      <xdr:colOff>184150</xdr:colOff>
      <xdr:row>27</xdr:row>
      <xdr:rowOff>140753</xdr:rowOff>
    </xdr:to>
    <mc:AlternateContent xmlns:mc="http://schemas.openxmlformats.org/markup-compatibility/2006">
      <mc:Choice xmlns:a14="http://schemas.microsoft.com/office/drawing/2010/main" Requires="a14">
        <xdr:graphicFrame macro="">
          <xdr:nvGraphicFramePr>
            <xdr:cNvPr id="6" name="Sales Person">
              <a:extLst>
                <a:ext uri="{FF2B5EF4-FFF2-40B4-BE49-F238E27FC236}">
                  <a16:creationId xmlns:a16="http://schemas.microsoft.com/office/drawing/2014/main" id="{732D75B8-E347-48A7-A031-2CA43E296E69}"/>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10693400" y="2501900"/>
              <a:ext cx="1828800" cy="2439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57150</xdr:colOff>
      <xdr:row>2</xdr:row>
      <xdr:rowOff>12701</xdr:rowOff>
    </xdr:from>
    <xdr:to>
      <xdr:col>13</xdr:col>
      <xdr:colOff>565150</xdr:colOff>
      <xdr:row>5</xdr:row>
      <xdr:rowOff>133351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A9D07C1-E00F-47F3-9D01-852D3DA523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074400" y="368301"/>
              <a:ext cx="1828800" cy="654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361950</xdr:colOff>
      <xdr:row>29</xdr:row>
      <xdr:rowOff>120650</xdr:rowOff>
    </xdr:from>
    <xdr:to>
      <xdr:col>10</xdr:col>
      <xdr:colOff>1206500</xdr:colOff>
      <xdr:row>43</xdr:row>
      <xdr:rowOff>70903</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52C483F7-910B-473D-AB3E-135C455704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163050" y="5276850"/>
              <a:ext cx="1828800" cy="2439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8.764043981479" createdVersion="7" refreshedVersion="7" minRefreshableVersion="3" recordCount="50" xr:uid="{33B289AC-F46F-44E2-9602-C2169B7D117F}">
  <cacheSource type="worksheet">
    <worksheetSource ref="A1:I51" sheet="SalesData"/>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3808555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n v="504000"/>
    <n v="168000"/>
  </r>
  <r>
    <d v="2021-09-07T00:00:00"/>
    <x v="1"/>
    <x v="1"/>
    <x v="1"/>
    <n v="128"/>
    <n v="3500"/>
    <n v="2500"/>
    <n v="448000"/>
    <n v="128000"/>
  </r>
  <r>
    <d v="2021-02-03T00:00:00"/>
    <x v="2"/>
    <x v="2"/>
    <x v="2"/>
    <n v="136"/>
    <n v="1200"/>
    <n v="800"/>
    <n v="163200"/>
    <n v="54400"/>
  </r>
  <r>
    <d v="2020-09-11T00:00:00"/>
    <x v="3"/>
    <x v="3"/>
    <x v="3"/>
    <n v="91"/>
    <n v="1000"/>
    <n v="700"/>
    <n v="91000"/>
    <n v="27300"/>
  </r>
  <r>
    <d v="2021-09-23T00:00:00"/>
    <x v="4"/>
    <x v="0"/>
    <x v="4"/>
    <n v="110"/>
    <n v="4000"/>
    <n v="3000"/>
    <n v="440000"/>
    <n v="110000"/>
  </r>
  <r>
    <d v="2020-10-01T00:00:00"/>
    <x v="5"/>
    <x v="1"/>
    <x v="2"/>
    <n v="51"/>
    <n v="1200"/>
    <n v="800"/>
    <n v="61200"/>
    <n v="20400"/>
  </r>
  <r>
    <d v="2021-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0-09-10T00:00:00"/>
    <x v="9"/>
    <x v="2"/>
    <x v="3"/>
    <n v="137"/>
    <n v="1000"/>
    <n v="700"/>
    <n v="137000"/>
    <n v="41100"/>
  </r>
  <r>
    <d v="2021-07-27T00:00:00"/>
    <x v="7"/>
    <x v="2"/>
    <x v="1"/>
    <n v="96"/>
    <n v="3500"/>
    <n v="2500"/>
    <n v="336000"/>
    <n v="96000"/>
  </r>
  <r>
    <d v="2020-10-09T00:00:00"/>
    <x v="8"/>
    <x v="1"/>
    <x v="4"/>
    <n v="52"/>
    <n v="4000"/>
    <n v="3000"/>
    <n v="208000"/>
    <n v="52000"/>
  </r>
  <r>
    <d v="2021-04-06T00:00:00"/>
    <x v="3"/>
    <x v="0"/>
    <x v="1"/>
    <n v="76"/>
    <n v="3500"/>
    <n v="2500"/>
    <n v="266000"/>
    <n v="76000"/>
  </r>
  <r>
    <d v="2021-06-15T00:00:00"/>
    <x v="1"/>
    <x v="3"/>
    <x v="4"/>
    <n v="145"/>
    <n v="4000"/>
    <n v="3000"/>
    <n v="580000"/>
    <n v="145000"/>
  </r>
  <r>
    <d v="2020-09-09T00:00:00"/>
    <x v="0"/>
    <x v="2"/>
    <x v="5"/>
    <n v="83"/>
    <n v="600"/>
    <n v="400"/>
    <n v="49800"/>
    <n v="16600"/>
  </r>
  <r>
    <d v="2021-08-13T00:00:00"/>
    <x v="4"/>
    <x v="2"/>
    <x v="3"/>
    <n v="91"/>
    <n v="1000"/>
    <n v="700"/>
    <n v="91000"/>
    <n v="27300"/>
  </r>
  <r>
    <d v="2020-08-27T00:00:00"/>
    <x v="5"/>
    <x v="0"/>
    <x v="6"/>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12-02T00:00:00"/>
    <x v="9"/>
    <x v="3"/>
    <x v="3"/>
    <n v="55"/>
    <n v="1000"/>
    <n v="700"/>
    <n v="55000"/>
    <n v="16500"/>
  </r>
  <r>
    <d v="2021-08-30T00:00:00"/>
    <x v="5"/>
    <x v="1"/>
    <x v="4"/>
    <n v="93"/>
    <n v="4000"/>
    <n v="3000"/>
    <n v="372000"/>
    <n v="93000"/>
  </r>
  <r>
    <d v="2020-05-20T00:00:00"/>
    <x v="2"/>
    <x v="2"/>
    <x v="5"/>
    <n v="143"/>
    <n v="600"/>
    <n v="400"/>
    <n v="85800"/>
    <n v="28600"/>
  </r>
  <r>
    <d v="2021-09-13T00:00:00"/>
    <x v="6"/>
    <x v="0"/>
    <x v="1"/>
    <n v="143"/>
    <n v="3500"/>
    <n v="2500"/>
    <n v="500500"/>
    <n v="143000"/>
  </r>
  <r>
    <d v="2021-10-27T00:00:00"/>
    <x v="8"/>
    <x v="3"/>
    <x v="5"/>
    <n v="99"/>
    <n v="600"/>
    <n v="400"/>
    <n v="59400"/>
    <n v="19800"/>
  </r>
  <r>
    <d v="2020-12-22T00:00:00"/>
    <x v="3"/>
    <x v="0"/>
    <x v="3"/>
    <n v="120"/>
    <n v="1000"/>
    <n v="700"/>
    <n v="120000"/>
    <n v="36000"/>
  </r>
  <r>
    <d v="2021-07-28T00:00:00"/>
    <x v="1"/>
    <x v="2"/>
    <x v="1"/>
    <n v="66"/>
    <n v="3500"/>
    <n v="2500"/>
    <n v="231000"/>
    <n v="66000"/>
  </r>
  <r>
    <d v="2020-09-29T00:00:00"/>
    <x v="8"/>
    <x v="3"/>
    <x v="2"/>
    <n v="88"/>
    <n v="1200"/>
    <n v="800"/>
    <n v="105600"/>
    <n v="35200"/>
  </r>
  <r>
    <d v="2020-10-22T00:00:00"/>
    <x v="3"/>
    <x v="1"/>
    <x v="6"/>
    <n v="127"/>
    <n v="10000"/>
    <n v="7000"/>
    <n v="1270000"/>
    <n v="381000"/>
  </r>
  <r>
    <d v="2020-05-19T00:00:00"/>
    <x v="4"/>
    <x v="0"/>
    <x v="4"/>
    <n v="67"/>
    <n v="4000"/>
    <n v="3000"/>
    <n v="268000"/>
    <n v="67000"/>
  </r>
  <r>
    <d v="2021-12-06T00:00:00"/>
    <x v="1"/>
    <x v="1"/>
    <x v="2"/>
    <n v="67"/>
    <n v="1200"/>
    <n v="800"/>
    <n v="80400"/>
    <n v="26800"/>
  </r>
  <r>
    <d v="2020-08-26T00:00:00"/>
    <x v="9"/>
    <x v="2"/>
    <x v="3"/>
    <n v="149"/>
    <n v="1000"/>
    <n v="700"/>
    <n v="149000"/>
    <n v="44700"/>
  </r>
  <r>
    <d v="2021-07-01T00:00:00"/>
    <x v="4"/>
    <x v="3"/>
    <x v="5"/>
    <n v="104"/>
    <n v="600"/>
    <n v="400"/>
    <n v="62400"/>
    <n v="20800"/>
  </r>
  <r>
    <d v="2021-07-27T00:00:00"/>
    <x v="7"/>
    <x v="0"/>
    <x v="5"/>
    <n v="57"/>
    <n v="600"/>
    <n v="400"/>
    <n v="34200"/>
    <n v="11400"/>
  </r>
  <r>
    <d v="2020-10-05T00:00:00"/>
    <x v="2"/>
    <x v="1"/>
    <x v="5"/>
    <n v="90"/>
    <n v="600"/>
    <n v="400"/>
    <n v="54000"/>
    <n v="18000"/>
  </r>
  <r>
    <d v="2020-09-02T00:00:00"/>
    <x v="5"/>
    <x v="2"/>
    <x v="5"/>
    <n v="67"/>
    <n v="600"/>
    <n v="400"/>
    <n v="40200"/>
    <n v="13400"/>
  </r>
  <r>
    <d v="2021-09-02T00:00:00"/>
    <x v="0"/>
    <x v="3"/>
    <x v="4"/>
    <n v="127"/>
    <n v="4000"/>
    <n v="3000"/>
    <n v="508000"/>
    <n v="127000"/>
  </r>
  <r>
    <d v="2021-04-13T00:00:00"/>
    <x v="5"/>
    <x v="0"/>
    <x v="3"/>
    <n v="108"/>
    <n v="1000"/>
    <n v="700"/>
    <n v="108000"/>
    <n v="32400"/>
  </r>
  <r>
    <d v="2021-05-06T00:00:00"/>
    <x v="2"/>
    <x v="1"/>
    <x v="1"/>
    <n v="66"/>
    <n v="3500"/>
    <n v="2500"/>
    <n v="231000"/>
    <n v="66000"/>
  </r>
  <r>
    <d v="2021-01-15T00:00:00"/>
    <x v="0"/>
    <x v="3"/>
    <x v="0"/>
    <n v="78"/>
    <n v="6000"/>
    <n v="4000"/>
    <n v="468000"/>
    <n v="156000"/>
  </r>
  <r>
    <d v="2020-08-27T00:00:00"/>
    <x v="7"/>
    <x v="2"/>
    <x v="3"/>
    <n v="69"/>
    <n v="1000"/>
    <n v="700"/>
    <n v="69000"/>
    <n v="20700"/>
  </r>
  <r>
    <d v="2021-02-05T00:00:00"/>
    <x v="4"/>
    <x v="0"/>
    <x v="2"/>
    <n v="59"/>
    <n v="1200"/>
    <n v="800"/>
    <n v="70800"/>
    <n v="23600"/>
  </r>
  <r>
    <d v="2021-11-17T00:00:00"/>
    <x v="9"/>
    <x v="2"/>
    <x v="5"/>
    <n v="109"/>
    <n v="600"/>
    <n v="400"/>
    <n v="65400"/>
    <n v="21800"/>
  </r>
  <r>
    <d v="2020-12-28T00:00:00"/>
    <x v="8"/>
    <x v="1"/>
    <x v="4"/>
    <n v="61"/>
    <n v="4000"/>
    <n v="3000"/>
    <n v="244000"/>
    <n v="61000"/>
  </r>
  <r>
    <d v="2021-10-27T00:00:00"/>
    <x v="4"/>
    <x v="3"/>
    <x v="5"/>
    <n v="130"/>
    <n v="600"/>
    <n v="400"/>
    <n v="78000"/>
    <n v="26000"/>
  </r>
  <r>
    <d v="2021-11-02T00:00:00"/>
    <x v="3"/>
    <x v="2"/>
    <x v="1"/>
    <n v="60"/>
    <n v="3500"/>
    <n v="2500"/>
    <n v="210000"/>
    <n v="60000"/>
  </r>
  <r>
    <d v="2020-05-07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34AB8E-6C7C-4295-99F5-87A66BEE0D06}"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J3:K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41F871-1FAA-41FE-99D3-0FAA9C1F77E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3:H14"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7508B5-7D89-4502-AFD7-F3755B0CCEF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D3:E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3" baseItem="0" numFmtId="165"/>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6"/>
          </reference>
        </references>
      </pivotArea>
    </chartFormat>
    <chartFormat chart="3" format="2">
      <pivotArea type="data" outline="0" fieldPosition="0">
        <references count="2">
          <reference field="4294967294" count="1" selected="0">
            <x v="0"/>
          </reference>
          <reference field="3" count="1" selected="0">
            <x v="5"/>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A4DF7C-24C6-4891-88FD-4A3C8FBE4825}"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0" numFmtId="165"/>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2" count="1" selected="0">
            <x v="0"/>
          </reference>
        </references>
      </pivotArea>
    </chartFormat>
    <chartFormat chart="3" format="17">
      <pivotArea type="data" outline="0" fieldPosition="0">
        <references count="2">
          <reference field="4294967294" count="1" selected="0">
            <x v="0"/>
          </reference>
          <reference field="2" count="1" selected="0">
            <x v="1"/>
          </reference>
        </references>
      </pivotArea>
    </chartFormat>
    <chartFormat chart="3" format="18">
      <pivotArea type="data" outline="0" fieldPosition="0">
        <references count="2">
          <reference field="4294967294" count="1" selected="0">
            <x v="0"/>
          </reference>
          <reference field="2" count="1" selected="0">
            <x v="2"/>
          </reference>
        </references>
      </pivotArea>
    </chartFormat>
    <chartFormat chart="3" format="19">
      <pivotArea type="data" outline="0" fieldPosition="0">
        <references count="2">
          <reference field="4294967294" count="1" selected="0">
            <x v="0"/>
          </reference>
          <reference field="2" count="1" selected="0">
            <x v="3"/>
          </reference>
        </references>
      </pivotArea>
    </chartFormat>
    <chartFormat chart="4"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638929C3-CB99-4077-B861-5F4B32B9AA3D}" sourceName="Sales Person">
  <pivotTables>
    <pivotTable tabId="5" name="PivotTable2"/>
    <pivotTable tabId="5" name="PivotTable3"/>
    <pivotTable tabId="5" name="PivotTable4"/>
    <pivotTable tabId="5" name="PivotTable5"/>
  </pivotTables>
  <data>
    <tabular pivotCacheId="1380855595">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AD404C8-D73D-477C-9719-2D7FA4D2F844}" sourceName="Product">
  <pivotTables>
    <pivotTable tabId="5" name="PivotTable2"/>
    <pivotTable tabId="5" name="PivotTable3"/>
    <pivotTable tabId="5" name="PivotTable4"/>
    <pivotTable tabId="5" name="PivotTable5"/>
  </pivotTables>
  <data>
    <tabular pivotCacheId="1380855595">
      <items count="7">
        <i x="2" s="1"/>
        <i x="1" s="1"/>
        <i x="5" s="1"/>
        <i x="3" s="1"/>
        <i x="6"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8DEEB9-7AAC-45AA-9DB0-0D415C80AFF5}" sourceName="Region">
  <pivotTables>
    <pivotTable tabId="5" name="PivotTable2"/>
    <pivotTable tabId="5" name="PivotTable3"/>
    <pivotTable tabId="5" name="PivotTable4"/>
    <pivotTable tabId="5" name="PivotTable5"/>
  </pivotTables>
  <data>
    <tabular pivotCacheId="1380855595">
      <items count="4">
        <i x="1" s="1"/>
        <i x="3" s="1"/>
        <i x="2"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A572D3D5-D7DE-4FD7-9560-DFAB717EDC37}" cache="Slicer_Sales_Person" caption="Sales Person" rowHeight="230716"/>
  <slicer name="Product 1" xr10:uid="{EDB2CFC8-C0F5-4AF1-B03E-B5CB2CD5CC5E}" cache="Slicer_Product" caption="Product" rowHeight="230716"/>
  <slicer name="Region 1" xr10:uid="{B6837F8A-CA2A-4AFD-BF85-A3D2221990EB}" cache="Slicer_Region" caption="Region" columnCount="2" showCaption="0"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5A625378-A24A-4507-B490-72CE8E076788}" cache="Slicer_Sales_Person" caption="Sales Person" rowHeight="230716"/>
  <slicer name="Product" xr10:uid="{32F15F2A-D237-41B8-B2FC-454AE883F238}" cache="Slicer_Product" caption="Product" rowHeight="230716"/>
  <slicer name="Region" xr10:uid="{B854C8AA-9649-4EF9-9094-4CE928392F6B}" cache="Slicer_Region" caption="Region" columnCount="2" showCaption="0" rowHeight="230716"/>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3A106-C13A-4BE5-97A3-D98DA5BD57F3}">
  <dimension ref="D13:G13"/>
  <sheetViews>
    <sheetView showGridLines="0" showRowColHeaders="0" zoomScale="70" zoomScaleNormal="70" workbookViewId="0">
      <selection activeCell="X11" sqref="X11"/>
    </sheetView>
  </sheetViews>
  <sheetFormatPr defaultRowHeight="14"/>
  <sheetData>
    <row r="13" spans="4:7">
      <c r="D13" t="s">
        <v>37</v>
      </c>
      <c r="G13" t="s">
        <v>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K51"/>
  <sheetViews>
    <sheetView workbookViewId="0">
      <selection activeCell="L14" sqref="L14"/>
    </sheetView>
  </sheetViews>
  <sheetFormatPr defaultRowHeight="14"/>
  <cols>
    <col min="1" max="1" width="12.83203125" customWidth="1"/>
    <col min="2" max="2" width="11.33203125" customWidth="1"/>
    <col min="4" max="4" width="15.58203125" customWidth="1"/>
    <col min="6" max="6" width="11.6640625" customWidth="1"/>
    <col min="7" max="7" width="13.25" customWidth="1"/>
    <col min="8" max="9" width="13.5" customWidth="1"/>
    <col min="10" max="10" width="14.58203125" bestFit="1" customWidth="1"/>
    <col min="11" max="11" width="17.83203125" customWidth="1"/>
  </cols>
  <sheetData>
    <row r="1" spans="1:11" ht="20.149999999999999" customHeight="1" thickBot="1">
      <c r="A1" s="1" t="s">
        <v>0</v>
      </c>
      <c r="B1" s="1" t="s">
        <v>1</v>
      </c>
      <c r="C1" s="1" t="s">
        <v>2</v>
      </c>
      <c r="D1" s="1" t="s">
        <v>3</v>
      </c>
      <c r="E1" s="1" t="s">
        <v>4</v>
      </c>
      <c r="F1" s="1" t="s">
        <v>5</v>
      </c>
      <c r="G1" s="1" t="s">
        <v>6</v>
      </c>
      <c r="H1" s="1" t="s">
        <v>7</v>
      </c>
      <c r="I1" s="6" t="s">
        <v>29</v>
      </c>
    </row>
    <row r="2" spans="1:11" ht="14.5" thickTop="1">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5">
        <f>H2-(G2*E2)</f>
        <v>168000</v>
      </c>
      <c r="J2" s="5"/>
      <c r="K2" s="7" t="s">
        <v>30</v>
      </c>
    </row>
    <row r="3" spans="1:11">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5">
        <f t="shared" ref="I3:I51" si="3">H3-(G3*E3)</f>
        <v>128000</v>
      </c>
      <c r="K3" s="13">
        <f>SUM(H2:H51)</f>
        <v>12944500</v>
      </c>
    </row>
    <row r="4" spans="1:11">
      <c r="A4" s="2">
        <v>44230</v>
      </c>
      <c r="B4" t="s">
        <v>14</v>
      </c>
      <c r="C4" t="s">
        <v>15</v>
      </c>
      <c r="D4" t="s">
        <v>16</v>
      </c>
      <c r="E4" s="3">
        <v>136</v>
      </c>
      <c r="F4" s="4">
        <f t="shared" si="0"/>
        <v>1200</v>
      </c>
      <c r="G4" s="4">
        <f t="shared" si="1"/>
        <v>800</v>
      </c>
      <c r="H4" s="4">
        <f t="shared" si="2"/>
        <v>163200</v>
      </c>
      <c r="I4" s="5">
        <f t="shared" si="3"/>
        <v>54400</v>
      </c>
      <c r="K4" s="12" t="s">
        <v>31</v>
      </c>
    </row>
    <row r="5" spans="1:11">
      <c r="A5" s="2">
        <v>44085</v>
      </c>
      <c r="B5" t="s">
        <v>17</v>
      </c>
      <c r="C5" t="s">
        <v>18</v>
      </c>
      <c r="D5" t="s">
        <v>19</v>
      </c>
      <c r="E5" s="3">
        <v>91</v>
      </c>
      <c r="F5" s="4">
        <f t="shared" si="0"/>
        <v>1000</v>
      </c>
      <c r="G5" s="4">
        <f t="shared" si="1"/>
        <v>700</v>
      </c>
      <c r="H5" s="4">
        <f t="shared" si="2"/>
        <v>91000</v>
      </c>
      <c r="I5" s="5">
        <f t="shared" si="3"/>
        <v>27300</v>
      </c>
      <c r="K5">
        <f>SUM(E2:E51)</f>
        <v>4705</v>
      </c>
    </row>
    <row r="6" spans="1:11">
      <c r="A6" s="2">
        <v>44462</v>
      </c>
      <c r="B6" t="s">
        <v>20</v>
      </c>
      <c r="C6" t="s">
        <v>9</v>
      </c>
      <c r="D6" t="s">
        <v>21</v>
      </c>
      <c r="E6" s="3">
        <v>110</v>
      </c>
      <c r="F6" s="4">
        <f t="shared" si="0"/>
        <v>4000</v>
      </c>
      <c r="G6" s="4">
        <f t="shared" si="1"/>
        <v>3000</v>
      </c>
      <c r="H6" s="4">
        <f t="shared" si="2"/>
        <v>440000</v>
      </c>
      <c r="I6" s="5">
        <f t="shared" si="3"/>
        <v>110000</v>
      </c>
      <c r="K6" s="7" t="s">
        <v>32</v>
      </c>
    </row>
    <row r="7" spans="1:11">
      <c r="A7" s="2">
        <v>44105</v>
      </c>
      <c r="B7" t="s">
        <v>22</v>
      </c>
      <c r="C7" t="s">
        <v>12</v>
      </c>
      <c r="D7" t="s">
        <v>16</v>
      </c>
      <c r="E7" s="3">
        <v>51</v>
      </c>
      <c r="F7" s="4">
        <f t="shared" si="0"/>
        <v>1200</v>
      </c>
      <c r="G7" s="4">
        <f t="shared" si="1"/>
        <v>800</v>
      </c>
      <c r="H7" s="4">
        <f t="shared" si="2"/>
        <v>61200</v>
      </c>
      <c r="I7" s="5">
        <f t="shared" si="3"/>
        <v>20400</v>
      </c>
      <c r="K7" s="13">
        <f>SUM(I2:I51)</f>
        <v>3834400</v>
      </c>
    </row>
    <row r="8" spans="1:11">
      <c r="A8" s="2">
        <v>44413</v>
      </c>
      <c r="B8" t="s">
        <v>23</v>
      </c>
      <c r="C8" t="s">
        <v>18</v>
      </c>
      <c r="D8" t="s">
        <v>19</v>
      </c>
      <c r="E8" s="3">
        <v>78</v>
      </c>
      <c r="F8" s="4">
        <f t="shared" si="0"/>
        <v>1000</v>
      </c>
      <c r="G8" s="4">
        <f t="shared" si="1"/>
        <v>700</v>
      </c>
      <c r="H8" s="4">
        <f t="shared" si="2"/>
        <v>78000</v>
      </c>
      <c r="I8" s="5">
        <f t="shared" si="3"/>
        <v>23400</v>
      </c>
      <c r="K8" s="7" t="s">
        <v>33</v>
      </c>
    </row>
    <row r="9" spans="1:11">
      <c r="A9" s="2">
        <v>44141</v>
      </c>
      <c r="B9" t="s">
        <v>24</v>
      </c>
      <c r="C9" t="s">
        <v>15</v>
      </c>
      <c r="D9" t="s">
        <v>10</v>
      </c>
      <c r="E9" s="3">
        <v>146</v>
      </c>
      <c r="F9" s="4">
        <f t="shared" si="0"/>
        <v>6000</v>
      </c>
      <c r="G9" s="4">
        <f t="shared" si="1"/>
        <v>4000</v>
      </c>
      <c r="H9" s="4">
        <f t="shared" si="2"/>
        <v>876000</v>
      </c>
      <c r="I9" s="5">
        <f t="shared" si="3"/>
        <v>292000</v>
      </c>
      <c r="K9" s="13">
        <f>AVERAGE(H2:H51)</f>
        <v>258890</v>
      </c>
    </row>
    <row r="10" spans="1:11">
      <c r="A10" s="2">
        <v>44223</v>
      </c>
      <c r="B10" t="s">
        <v>25</v>
      </c>
      <c r="C10" t="s">
        <v>9</v>
      </c>
      <c r="D10" t="s">
        <v>26</v>
      </c>
      <c r="E10" s="3">
        <v>101</v>
      </c>
      <c r="F10" s="4">
        <f t="shared" si="0"/>
        <v>600</v>
      </c>
      <c r="G10" s="4">
        <f t="shared" si="1"/>
        <v>400</v>
      </c>
      <c r="H10" s="4">
        <f t="shared" si="2"/>
        <v>60600</v>
      </c>
      <c r="I10" s="5">
        <f t="shared" si="3"/>
        <v>20200</v>
      </c>
      <c r="J10" s="11"/>
    </row>
    <row r="11" spans="1:11">
      <c r="A11" s="2">
        <v>44442</v>
      </c>
      <c r="B11" t="s">
        <v>27</v>
      </c>
      <c r="C11" t="s">
        <v>15</v>
      </c>
      <c r="D11" t="s">
        <v>10</v>
      </c>
      <c r="E11" s="3">
        <v>52</v>
      </c>
      <c r="F11" s="4">
        <f t="shared" si="0"/>
        <v>6000</v>
      </c>
      <c r="G11" s="4">
        <f t="shared" si="1"/>
        <v>4000</v>
      </c>
      <c r="H11" s="4">
        <f t="shared" si="2"/>
        <v>312000</v>
      </c>
      <c r="I11" s="5">
        <f t="shared" si="3"/>
        <v>104000</v>
      </c>
    </row>
    <row r="12" spans="1:11">
      <c r="A12" s="2">
        <v>44469</v>
      </c>
      <c r="B12" t="s">
        <v>27</v>
      </c>
      <c r="C12" t="s">
        <v>12</v>
      </c>
      <c r="D12" t="s">
        <v>16</v>
      </c>
      <c r="E12" s="3">
        <v>55</v>
      </c>
      <c r="F12" s="4">
        <f t="shared" si="0"/>
        <v>1200</v>
      </c>
      <c r="G12" s="4">
        <f t="shared" si="1"/>
        <v>800</v>
      </c>
      <c r="H12" s="4">
        <f t="shared" si="2"/>
        <v>66000</v>
      </c>
      <c r="I12" s="5">
        <f t="shared" si="3"/>
        <v>22000</v>
      </c>
    </row>
    <row r="13" spans="1:11">
      <c r="A13" s="2">
        <v>44084</v>
      </c>
      <c r="B13" t="s">
        <v>27</v>
      </c>
      <c r="C13" t="s">
        <v>15</v>
      </c>
      <c r="D13" t="s">
        <v>19</v>
      </c>
      <c r="E13" s="3">
        <v>137</v>
      </c>
      <c r="F13" s="4">
        <f t="shared" si="0"/>
        <v>1000</v>
      </c>
      <c r="G13" s="4">
        <f t="shared" si="1"/>
        <v>700</v>
      </c>
      <c r="H13" s="4">
        <f t="shared" si="2"/>
        <v>137000</v>
      </c>
      <c r="I13" s="5">
        <f t="shared" si="3"/>
        <v>41100</v>
      </c>
    </row>
    <row r="14" spans="1:11">
      <c r="A14" s="2">
        <v>44404</v>
      </c>
      <c r="B14" t="s">
        <v>24</v>
      </c>
      <c r="C14" t="s">
        <v>15</v>
      </c>
      <c r="D14" t="s">
        <v>13</v>
      </c>
      <c r="E14" s="3">
        <v>96</v>
      </c>
      <c r="F14" s="4">
        <f t="shared" si="0"/>
        <v>3500</v>
      </c>
      <c r="G14" s="4">
        <f t="shared" si="1"/>
        <v>2500</v>
      </c>
      <c r="H14" s="4">
        <f t="shared" si="2"/>
        <v>336000</v>
      </c>
      <c r="I14" s="5">
        <f t="shared" si="3"/>
        <v>96000</v>
      </c>
    </row>
    <row r="15" spans="1:11">
      <c r="A15" s="2">
        <v>44113</v>
      </c>
      <c r="B15" t="s">
        <v>25</v>
      </c>
      <c r="C15" t="s">
        <v>12</v>
      </c>
      <c r="D15" t="s">
        <v>21</v>
      </c>
      <c r="E15" s="3">
        <v>52</v>
      </c>
      <c r="F15" s="4">
        <f t="shared" si="0"/>
        <v>4000</v>
      </c>
      <c r="G15" s="4">
        <f t="shared" si="1"/>
        <v>3000</v>
      </c>
      <c r="H15" s="4">
        <f t="shared" si="2"/>
        <v>208000</v>
      </c>
      <c r="I15" s="5">
        <f t="shared" si="3"/>
        <v>52000</v>
      </c>
    </row>
    <row r="16" spans="1:11">
      <c r="A16" s="2">
        <v>44292</v>
      </c>
      <c r="B16" t="s">
        <v>17</v>
      </c>
      <c r="C16" t="s">
        <v>9</v>
      </c>
      <c r="D16" t="s">
        <v>13</v>
      </c>
      <c r="E16" s="3">
        <v>76</v>
      </c>
      <c r="F16" s="4">
        <f t="shared" si="0"/>
        <v>3500</v>
      </c>
      <c r="G16" s="4">
        <f t="shared" si="1"/>
        <v>2500</v>
      </c>
      <c r="H16" s="4">
        <f t="shared" si="2"/>
        <v>266000</v>
      </c>
      <c r="I16" s="5">
        <f t="shared" si="3"/>
        <v>76000</v>
      </c>
    </row>
    <row r="17" spans="1:9">
      <c r="A17" s="2">
        <v>44362</v>
      </c>
      <c r="B17" t="s">
        <v>11</v>
      </c>
      <c r="C17" t="s">
        <v>18</v>
      </c>
      <c r="D17" t="s">
        <v>21</v>
      </c>
      <c r="E17" s="3">
        <v>145</v>
      </c>
      <c r="F17" s="4">
        <f t="shared" si="0"/>
        <v>4000</v>
      </c>
      <c r="G17" s="4">
        <f t="shared" si="1"/>
        <v>3000</v>
      </c>
      <c r="H17" s="4">
        <f t="shared" si="2"/>
        <v>580000</v>
      </c>
      <c r="I17" s="5">
        <f t="shared" si="3"/>
        <v>145000</v>
      </c>
    </row>
    <row r="18" spans="1:9">
      <c r="A18" s="2">
        <v>44083</v>
      </c>
      <c r="B18" t="s">
        <v>8</v>
      </c>
      <c r="C18" t="s">
        <v>15</v>
      </c>
      <c r="D18" t="s">
        <v>26</v>
      </c>
      <c r="E18" s="3">
        <v>83</v>
      </c>
      <c r="F18" s="4">
        <f t="shared" si="0"/>
        <v>600</v>
      </c>
      <c r="G18" s="4">
        <f t="shared" si="1"/>
        <v>400</v>
      </c>
      <c r="H18" s="4">
        <f t="shared" si="2"/>
        <v>49800</v>
      </c>
      <c r="I18" s="5">
        <f t="shared" si="3"/>
        <v>16600</v>
      </c>
    </row>
    <row r="19" spans="1:9">
      <c r="A19" s="2">
        <v>44421</v>
      </c>
      <c r="B19" t="s">
        <v>20</v>
      </c>
      <c r="C19" t="s">
        <v>15</v>
      </c>
      <c r="D19" t="s">
        <v>19</v>
      </c>
      <c r="E19" s="3">
        <v>91</v>
      </c>
      <c r="F19" s="4">
        <f t="shared" si="0"/>
        <v>1000</v>
      </c>
      <c r="G19" s="4">
        <f t="shared" si="1"/>
        <v>700</v>
      </c>
      <c r="H19" s="4">
        <f t="shared" si="2"/>
        <v>91000</v>
      </c>
      <c r="I19" s="5">
        <f t="shared" si="3"/>
        <v>27300</v>
      </c>
    </row>
    <row r="20" spans="1:9">
      <c r="A20" s="2">
        <v>44070</v>
      </c>
      <c r="B20" t="s">
        <v>22</v>
      </c>
      <c r="C20" t="s">
        <v>9</v>
      </c>
      <c r="D20" t="s">
        <v>28</v>
      </c>
      <c r="E20" s="3">
        <v>108</v>
      </c>
      <c r="F20" s="4">
        <f t="shared" si="0"/>
        <v>10000</v>
      </c>
      <c r="G20" s="4">
        <f t="shared" si="1"/>
        <v>7000</v>
      </c>
      <c r="H20" s="4">
        <f t="shared" si="2"/>
        <v>1080000</v>
      </c>
      <c r="I20" s="5">
        <f t="shared" si="3"/>
        <v>324000</v>
      </c>
    </row>
    <row r="21" spans="1:9">
      <c r="A21" s="2">
        <v>44293</v>
      </c>
      <c r="B21" t="s">
        <v>14</v>
      </c>
      <c r="C21" t="s">
        <v>18</v>
      </c>
      <c r="D21" t="s">
        <v>21</v>
      </c>
      <c r="E21" s="3">
        <v>144</v>
      </c>
      <c r="F21" s="4">
        <f t="shared" si="0"/>
        <v>4000</v>
      </c>
      <c r="G21" s="4">
        <f t="shared" si="1"/>
        <v>3000</v>
      </c>
      <c r="H21" s="4">
        <f t="shared" si="2"/>
        <v>576000</v>
      </c>
      <c r="I21" s="5">
        <f t="shared" si="3"/>
        <v>144000</v>
      </c>
    </row>
    <row r="22" spans="1:9">
      <c r="A22" s="2">
        <v>43990</v>
      </c>
      <c r="B22" t="s">
        <v>20</v>
      </c>
      <c r="C22" t="s">
        <v>15</v>
      </c>
      <c r="D22" t="s">
        <v>26</v>
      </c>
      <c r="E22" s="3">
        <v>92</v>
      </c>
      <c r="F22" s="4">
        <f t="shared" si="0"/>
        <v>600</v>
      </c>
      <c r="G22" s="4">
        <f t="shared" si="1"/>
        <v>400</v>
      </c>
      <c r="H22" s="4">
        <f t="shared" si="2"/>
        <v>55200</v>
      </c>
      <c r="I22" s="5">
        <f t="shared" si="3"/>
        <v>18400</v>
      </c>
    </row>
    <row r="23" spans="1:9">
      <c r="A23" s="2">
        <v>44551</v>
      </c>
      <c r="B23" t="s">
        <v>24</v>
      </c>
      <c r="C23" t="s">
        <v>9</v>
      </c>
      <c r="D23" t="s">
        <v>10</v>
      </c>
      <c r="E23" s="3">
        <v>71</v>
      </c>
      <c r="F23" s="4">
        <f t="shared" si="0"/>
        <v>6000</v>
      </c>
      <c r="G23" s="4">
        <f t="shared" si="1"/>
        <v>4000</v>
      </c>
      <c r="H23" s="4">
        <f t="shared" si="2"/>
        <v>426000</v>
      </c>
      <c r="I23" s="5">
        <f t="shared" si="3"/>
        <v>142000</v>
      </c>
    </row>
    <row r="24" spans="1:9">
      <c r="A24" s="2">
        <v>44418</v>
      </c>
      <c r="B24" t="s">
        <v>8</v>
      </c>
      <c r="C24" t="s">
        <v>12</v>
      </c>
      <c r="D24" t="s">
        <v>26</v>
      </c>
      <c r="E24" s="3">
        <v>103</v>
      </c>
      <c r="F24" s="4">
        <f t="shared" si="0"/>
        <v>600</v>
      </c>
      <c r="G24" s="4">
        <f t="shared" si="1"/>
        <v>400</v>
      </c>
      <c r="H24" s="4">
        <f t="shared" si="2"/>
        <v>61800</v>
      </c>
      <c r="I24" s="5">
        <f t="shared" si="3"/>
        <v>20600</v>
      </c>
    </row>
    <row r="25" spans="1:9">
      <c r="A25" s="2">
        <v>44532</v>
      </c>
      <c r="B25" t="s">
        <v>27</v>
      </c>
      <c r="C25" t="s">
        <v>18</v>
      </c>
      <c r="D25" t="s">
        <v>19</v>
      </c>
      <c r="E25" s="3">
        <v>55</v>
      </c>
      <c r="F25" s="4">
        <f t="shared" si="0"/>
        <v>1000</v>
      </c>
      <c r="G25" s="4">
        <f t="shared" si="1"/>
        <v>700</v>
      </c>
      <c r="H25" s="4">
        <f t="shared" si="2"/>
        <v>55000</v>
      </c>
      <c r="I25" s="5">
        <f t="shared" si="3"/>
        <v>16500</v>
      </c>
    </row>
    <row r="26" spans="1:9">
      <c r="A26" s="2">
        <v>44438</v>
      </c>
      <c r="B26" t="s">
        <v>22</v>
      </c>
      <c r="C26" t="s">
        <v>12</v>
      </c>
      <c r="D26" t="s">
        <v>21</v>
      </c>
      <c r="E26" s="3">
        <v>93</v>
      </c>
      <c r="F26" s="4">
        <f t="shared" si="0"/>
        <v>4000</v>
      </c>
      <c r="G26" s="4">
        <f t="shared" si="1"/>
        <v>3000</v>
      </c>
      <c r="H26" s="4">
        <f t="shared" si="2"/>
        <v>372000</v>
      </c>
      <c r="I26" s="5">
        <f t="shared" si="3"/>
        <v>93000</v>
      </c>
    </row>
    <row r="27" spans="1:9">
      <c r="A27" s="2">
        <v>43971</v>
      </c>
      <c r="B27" t="s">
        <v>14</v>
      </c>
      <c r="C27" t="s">
        <v>15</v>
      </c>
      <c r="D27" t="s">
        <v>26</v>
      </c>
      <c r="E27" s="3">
        <v>143</v>
      </c>
      <c r="F27" s="4">
        <f t="shared" si="0"/>
        <v>600</v>
      </c>
      <c r="G27" s="4">
        <f t="shared" si="1"/>
        <v>400</v>
      </c>
      <c r="H27" s="4">
        <f t="shared" si="2"/>
        <v>85800</v>
      </c>
      <c r="I27" s="5">
        <f t="shared" si="3"/>
        <v>28600</v>
      </c>
    </row>
    <row r="28" spans="1:9">
      <c r="A28" s="2">
        <v>44452</v>
      </c>
      <c r="B28" t="s">
        <v>23</v>
      </c>
      <c r="C28" t="s">
        <v>9</v>
      </c>
      <c r="D28" t="s">
        <v>13</v>
      </c>
      <c r="E28" s="3">
        <v>143</v>
      </c>
      <c r="F28" s="4">
        <f t="shared" si="0"/>
        <v>3500</v>
      </c>
      <c r="G28" s="4">
        <f t="shared" si="1"/>
        <v>2500</v>
      </c>
      <c r="H28" s="4">
        <f t="shared" si="2"/>
        <v>500500</v>
      </c>
      <c r="I28" s="5">
        <f t="shared" si="3"/>
        <v>143000</v>
      </c>
    </row>
    <row r="29" spans="1:9">
      <c r="A29" s="2">
        <v>44496</v>
      </c>
      <c r="B29" t="s">
        <v>25</v>
      </c>
      <c r="C29" t="s">
        <v>18</v>
      </c>
      <c r="D29" t="s">
        <v>26</v>
      </c>
      <c r="E29" s="3">
        <v>99</v>
      </c>
      <c r="F29" s="4">
        <f t="shared" si="0"/>
        <v>600</v>
      </c>
      <c r="G29" s="4">
        <f t="shared" si="1"/>
        <v>400</v>
      </c>
      <c r="H29" s="4">
        <f t="shared" si="2"/>
        <v>59400</v>
      </c>
      <c r="I29" s="5">
        <f t="shared" si="3"/>
        <v>19800</v>
      </c>
    </row>
    <row r="30" spans="1:9">
      <c r="A30" s="2">
        <v>44187</v>
      </c>
      <c r="B30" t="s">
        <v>17</v>
      </c>
      <c r="C30" t="s">
        <v>9</v>
      </c>
      <c r="D30" t="s">
        <v>19</v>
      </c>
      <c r="E30" s="3">
        <v>120</v>
      </c>
      <c r="F30" s="4">
        <f t="shared" si="0"/>
        <v>1000</v>
      </c>
      <c r="G30" s="4">
        <f t="shared" si="1"/>
        <v>700</v>
      </c>
      <c r="H30" s="4">
        <f t="shared" si="2"/>
        <v>120000</v>
      </c>
      <c r="I30" s="5">
        <f t="shared" si="3"/>
        <v>36000</v>
      </c>
    </row>
    <row r="31" spans="1:9">
      <c r="A31" s="2">
        <v>44405</v>
      </c>
      <c r="B31" t="s">
        <v>11</v>
      </c>
      <c r="C31" t="s">
        <v>15</v>
      </c>
      <c r="D31" t="s">
        <v>13</v>
      </c>
      <c r="E31" s="3">
        <v>66</v>
      </c>
      <c r="F31" s="4">
        <f t="shared" si="0"/>
        <v>3500</v>
      </c>
      <c r="G31" s="4">
        <f t="shared" si="1"/>
        <v>2500</v>
      </c>
      <c r="H31" s="4">
        <f t="shared" si="2"/>
        <v>231000</v>
      </c>
      <c r="I31" s="5">
        <f t="shared" si="3"/>
        <v>66000</v>
      </c>
    </row>
    <row r="32" spans="1:9">
      <c r="A32" s="2">
        <v>44103</v>
      </c>
      <c r="B32" t="s">
        <v>25</v>
      </c>
      <c r="C32" t="s">
        <v>18</v>
      </c>
      <c r="D32" t="s">
        <v>16</v>
      </c>
      <c r="E32" s="3">
        <v>88</v>
      </c>
      <c r="F32" s="4">
        <f t="shared" si="0"/>
        <v>1200</v>
      </c>
      <c r="G32" s="4">
        <f t="shared" si="1"/>
        <v>800</v>
      </c>
      <c r="H32" s="4">
        <f t="shared" si="2"/>
        <v>105600</v>
      </c>
      <c r="I32" s="5">
        <f t="shared" si="3"/>
        <v>35200</v>
      </c>
    </row>
    <row r="33" spans="1:9">
      <c r="A33" s="2">
        <v>44126</v>
      </c>
      <c r="B33" t="s">
        <v>17</v>
      </c>
      <c r="C33" t="s">
        <v>12</v>
      </c>
      <c r="D33" t="s">
        <v>28</v>
      </c>
      <c r="E33" s="3">
        <v>127</v>
      </c>
      <c r="F33" s="4">
        <f t="shared" si="0"/>
        <v>10000</v>
      </c>
      <c r="G33" s="4">
        <f t="shared" si="1"/>
        <v>7000</v>
      </c>
      <c r="H33" s="4">
        <f t="shared" si="2"/>
        <v>1270000</v>
      </c>
      <c r="I33" s="5">
        <f t="shared" si="3"/>
        <v>381000</v>
      </c>
    </row>
    <row r="34" spans="1:9">
      <c r="A34" s="2">
        <v>43970</v>
      </c>
      <c r="B34" t="s">
        <v>20</v>
      </c>
      <c r="C34" t="s">
        <v>9</v>
      </c>
      <c r="D34" t="s">
        <v>21</v>
      </c>
      <c r="E34" s="3">
        <v>67</v>
      </c>
      <c r="F34" s="4">
        <f t="shared" si="0"/>
        <v>4000</v>
      </c>
      <c r="G34" s="4">
        <f t="shared" si="1"/>
        <v>3000</v>
      </c>
      <c r="H34" s="4">
        <f t="shared" si="2"/>
        <v>268000</v>
      </c>
      <c r="I34" s="5">
        <f t="shared" si="3"/>
        <v>67000</v>
      </c>
    </row>
    <row r="35" spans="1:9">
      <c r="A35" s="2">
        <v>44536</v>
      </c>
      <c r="B35" t="s">
        <v>11</v>
      </c>
      <c r="C35" t="s">
        <v>12</v>
      </c>
      <c r="D35" t="s">
        <v>16</v>
      </c>
      <c r="E35" s="3">
        <v>67</v>
      </c>
      <c r="F35" s="4">
        <f t="shared" si="0"/>
        <v>1200</v>
      </c>
      <c r="G35" s="4">
        <f t="shared" si="1"/>
        <v>800</v>
      </c>
      <c r="H35" s="4">
        <f t="shared" si="2"/>
        <v>80400</v>
      </c>
      <c r="I35" s="5">
        <f t="shared" si="3"/>
        <v>26800</v>
      </c>
    </row>
    <row r="36" spans="1:9">
      <c r="A36" s="2">
        <v>44069</v>
      </c>
      <c r="B36" t="s">
        <v>27</v>
      </c>
      <c r="C36" t="s">
        <v>15</v>
      </c>
      <c r="D36" t="s">
        <v>19</v>
      </c>
      <c r="E36" s="3">
        <v>149</v>
      </c>
      <c r="F36" s="4">
        <f t="shared" si="0"/>
        <v>1000</v>
      </c>
      <c r="G36" s="4">
        <f t="shared" si="1"/>
        <v>700</v>
      </c>
      <c r="H36" s="4">
        <f t="shared" si="2"/>
        <v>149000</v>
      </c>
      <c r="I36" s="5">
        <f t="shared" si="3"/>
        <v>44700</v>
      </c>
    </row>
    <row r="37" spans="1:9">
      <c r="A37" s="2">
        <v>44378</v>
      </c>
      <c r="B37" t="s">
        <v>20</v>
      </c>
      <c r="C37" t="s">
        <v>18</v>
      </c>
      <c r="D37" t="s">
        <v>26</v>
      </c>
      <c r="E37" s="3">
        <v>104</v>
      </c>
      <c r="F37" s="4">
        <f t="shared" si="0"/>
        <v>600</v>
      </c>
      <c r="G37" s="4">
        <f t="shared" si="1"/>
        <v>400</v>
      </c>
      <c r="H37" s="4">
        <f t="shared" si="2"/>
        <v>62400</v>
      </c>
      <c r="I37" s="5">
        <f t="shared" si="3"/>
        <v>20800</v>
      </c>
    </row>
    <row r="38" spans="1:9">
      <c r="A38" s="2">
        <v>44404</v>
      </c>
      <c r="B38" t="s">
        <v>24</v>
      </c>
      <c r="C38" t="s">
        <v>9</v>
      </c>
      <c r="D38" t="s">
        <v>26</v>
      </c>
      <c r="E38" s="3">
        <v>57</v>
      </c>
      <c r="F38" s="4">
        <f t="shared" si="0"/>
        <v>600</v>
      </c>
      <c r="G38" s="4">
        <f t="shared" si="1"/>
        <v>400</v>
      </c>
      <c r="H38" s="4">
        <f t="shared" si="2"/>
        <v>34200</v>
      </c>
      <c r="I38" s="5">
        <f t="shared" si="3"/>
        <v>11400</v>
      </c>
    </row>
    <row r="39" spans="1:9">
      <c r="A39" s="2">
        <v>44109</v>
      </c>
      <c r="B39" t="s">
        <v>14</v>
      </c>
      <c r="C39" t="s">
        <v>12</v>
      </c>
      <c r="D39" t="s">
        <v>26</v>
      </c>
      <c r="E39" s="3">
        <v>90</v>
      </c>
      <c r="F39" s="4">
        <f t="shared" si="0"/>
        <v>600</v>
      </c>
      <c r="G39" s="4">
        <f t="shared" si="1"/>
        <v>400</v>
      </c>
      <c r="H39" s="4">
        <f t="shared" si="2"/>
        <v>54000</v>
      </c>
      <c r="I39" s="5">
        <f t="shared" si="3"/>
        <v>18000</v>
      </c>
    </row>
    <row r="40" spans="1:9">
      <c r="A40" s="2">
        <v>44076</v>
      </c>
      <c r="B40" t="s">
        <v>22</v>
      </c>
      <c r="C40" t="s">
        <v>15</v>
      </c>
      <c r="D40" t="s">
        <v>26</v>
      </c>
      <c r="E40" s="3">
        <v>67</v>
      </c>
      <c r="F40" s="4">
        <f t="shared" si="0"/>
        <v>600</v>
      </c>
      <c r="G40" s="4">
        <f t="shared" si="1"/>
        <v>400</v>
      </c>
      <c r="H40" s="4">
        <f t="shared" si="2"/>
        <v>40200</v>
      </c>
      <c r="I40" s="5">
        <f t="shared" si="3"/>
        <v>13400</v>
      </c>
    </row>
    <row r="41" spans="1:9">
      <c r="A41" s="2">
        <v>44441</v>
      </c>
      <c r="B41" t="s">
        <v>8</v>
      </c>
      <c r="C41" t="s">
        <v>18</v>
      </c>
      <c r="D41" t="s">
        <v>21</v>
      </c>
      <c r="E41" s="3">
        <v>127</v>
      </c>
      <c r="F41" s="4">
        <f t="shared" si="0"/>
        <v>4000</v>
      </c>
      <c r="G41" s="4">
        <f t="shared" si="1"/>
        <v>3000</v>
      </c>
      <c r="H41" s="4">
        <f t="shared" si="2"/>
        <v>508000</v>
      </c>
      <c r="I41" s="5">
        <f t="shared" si="3"/>
        <v>127000</v>
      </c>
    </row>
    <row r="42" spans="1:9">
      <c r="A42" s="2">
        <v>44299</v>
      </c>
      <c r="B42" t="s">
        <v>22</v>
      </c>
      <c r="C42" t="s">
        <v>9</v>
      </c>
      <c r="D42" t="s">
        <v>19</v>
      </c>
      <c r="E42" s="3">
        <v>108</v>
      </c>
      <c r="F42" s="4">
        <f t="shared" si="0"/>
        <v>1000</v>
      </c>
      <c r="G42" s="4">
        <f t="shared" si="1"/>
        <v>700</v>
      </c>
      <c r="H42" s="4">
        <f t="shared" si="2"/>
        <v>108000</v>
      </c>
      <c r="I42" s="5">
        <f t="shared" si="3"/>
        <v>32400</v>
      </c>
    </row>
    <row r="43" spans="1:9">
      <c r="A43" s="2">
        <v>44322</v>
      </c>
      <c r="B43" t="s">
        <v>14</v>
      </c>
      <c r="C43" t="s">
        <v>12</v>
      </c>
      <c r="D43" t="s">
        <v>13</v>
      </c>
      <c r="E43" s="3">
        <v>66</v>
      </c>
      <c r="F43" s="4">
        <f t="shared" si="0"/>
        <v>3500</v>
      </c>
      <c r="G43" s="4">
        <f t="shared" si="1"/>
        <v>2500</v>
      </c>
      <c r="H43" s="4">
        <f t="shared" si="2"/>
        <v>231000</v>
      </c>
      <c r="I43" s="5">
        <f t="shared" si="3"/>
        <v>66000</v>
      </c>
    </row>
    <row r="44" spans="1:9">
      <c r="A44" s="2">
        <v>44211</v>
      </c>
      <c r="B44" t="s">
        <v>8</v>
      </c>
      <c r="C44" t="s">
        <v>18</v>
      </c>
      <c r="D44" t="s">
        <v>10</v>
      </c>
      <c r="E44" s="3">
        <v>78</v>
      </c>
      <c r="F44" s="4">
        <f t="shared" si="0"/>
        <v>6000</v>
      </c>
      <c r="G44" s="4">
        <f t="shared" si="1"/>
        <v>4000</v>
      </c>
      <c r="H44" s="4">
        <f t="shared" si="2"/>
        <v>468000</v>
      </c>
      <c r="I44" s="5">
        <f t="shared" si="3"/>
        <v>156000</v>
      </c>
    </row>
    <row r="45" spans="1:9">
      <c r="A45" s="2">
        <v>44070</v>
      </c>
      <c r="B45" t="s">
        <v>24</v>
      </c>
      <c r="C45" t="s">
        <v>15</v>
      </c>
      <c r="D45" t="s">
        <v>19</v>
      </c>
      <c r="E45" s="3">
        <v>69</v>
      </c>
      <c r="F45" s="4">
        <f t="shared" si="0"/>
        <v>1000</v>
      </c>
      <c r="G45" s="4">
        <f t="shared" si="1"/>
        <v>700</v>
      </c>
      <c r="H45" s="4">
        <f t="shared" si="2"/>
        <v>69000</v>
      </c>
      <c r="I45" s="5">
        <f t="shared" si="3"/>
        <v>20700</v>
      </c>
    </row>
    <row r="46" spans="1:9">
      <c r="A46" s="2">
        <v>44232</v>
      </c>
      <c r="B46" t="s">
        <v>20</v>
      </c>
      <c r="C46" t="s">
        <v>9</v>
      </c>
      <c r="D46" t="s">
        <v>16</v>
      </c>
      <c r="E46" s="3">
        <v>59</v>
      </c>
      <c r="F46" s="4">
        <f t="shared" si="0"/>
        <v>1200</v>
      </c>
      <c r="G46" s="4">
        <f t="shared" si="1"/>
        <v>800</v>
      </c>
      <c r="H46" s="4">
        <f t="shared" si="2"/>
        <v>70800</v>
      </c>
      <c r="I46" s="5">
        <f t="shared" si="3"/>
        <v>23600</v>
      </c>
    </row>
    <row r="47" spans="1:9">
      <c r="A47" s="2">
        <v>44517</v>
      </c>
      <c r="B47" t="s">
        <v>27</v>
      </c>
      <c r="C47" t="s">
        <v>15</v>
      </c>
      <c r="D47" t="s">
        <v>26</v>
      </c>
      <c r="E47" s="3">
        <v>109</v>
      </c>
      <c r="F47" s="4">
        <f t="shared" si="0"/>
        <v>600</v>
      </c>
      <c r="G47" s="4">
        <f t="shared" si="1"/>
        <v>400</v>
      </c>
      <c r="H47" s="4">
        <f t="shared" si="2"/>
        <v>65400</v>
      </c>
      <c r="I47" s="5">
        <f t="shared" si="3"/>
        <v>21800</v>
      </c>
    </row>
    <row r="48" spans="1:9">
      <c r="A48" s="2">
        <v>44193</v>
      </c>
      <c r="B48" t="s">
        <v>25</v>
      </c>
      <c r="C48" t="s">
        <v>12</v>
      </c>
      <c r="D48" t="s">
        <v>21</v>
      </c>
      <c r="E48" s="3">
        <v>61</v>
      </c>
      <c r="F48" s="4">
        <f t="shared" si="0"/>
        <v>4000</v>
      </c>
      <c r="G48" s="4">
        <f t="shared" si="1"/>
        <v>3000</v>
      </c>
      <c r="H48" s="4">
        <f t="shared" si="2"/>
        <v>244000</v>
      </c>
      <c r="I48" s="5">
        <f t="shared" si="3"/>
        <v>61000</v>
      </c>
    </row>
    <row r="49" spans="1:9">
      <c r="A49" s="2">
        <v>44496</v>
      </c>
      <c r="B49" t="s">
        <v>20</v>
      </c>
      <c r="C49" t="s">
        <v>18</v>
      </c>
      <c r="D49" t="s">
        <v>26</v>
      </c>
      <c r="E49" s="3">
        <v>130</v>
      </c>
      <c r="F49" s="4">
        <f t="shared" si="0"/>
        <v>600</v>
      </c>
      <c r="G49" s="4">
        <f t="shared" si="1"/>
        <v>400</v>
      </c>
      <c r="H49" s="4">
        <f t="shared" si="2"/>
        <v>78000</v>
      </c>
      <c r="I49" s="5">
        <f t="shared" si="3"/>
        <v>26000</v>
      </c>
    </row>
    <row r="50" spans="1:9">
      <c r="A50" s="2">
        <v>44502</v>
      </c>
      <c r="B50" t="s">
        <v>17</v>
      </c>
      <c r="C50" t="s">
        <v>15</v>
      </c>
      <c r="D50" t="s">
        <v>13</v>
      </c>
      <c r="E50" s="3">
        <v>60</v>
      </c>
      <c r="F50" s="4">
        <f t="shared" si="0"/>
        <v>3500</v>
      </c>
      <c r="G50" s="4">
        <f t="shared" si="1"/>
        <v>2500</v>
      </c>
      <c r="H50" s="4">
        <f t="shared" si="2"/>
        <v>210000</v>
      </c>
      <c r="I50" s="5">
        <f t="shared" si="3"/>
        <v>60000</v>
      </c>
    </row>
    <row r="51" spans="1:9">
      <c r="A51" s="2">
        <v>43958</v>
      </c>
      <c r="B51" t="s">
        <v>11</v>
      </c>
      <c r="C51" t="s">
        <v>12</v>
      </c>
      <c r="D51" t="s">
        <v>10</v>
      </c>
      <c r="E51" s="3">
        <v>73</v>
      </c>
      <c r="F51" s="4">
        <f t="shared" si="0"/>
        <v>6000</v>
      </c>
      <c r="G51" s="4">
        <f t="shared" si="1"/>
        <v>4000</v>
      </c>
      <c r="H51" s="4">
        <f t="shared" si="2"/>
        <v>438000</v>
      </c>
      <c r="I51" s="5">
        <f t="shared" si="3"/>
        <v>146000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EAD-8EBF-4629-A623-BF33650121F6}">
  <dimension ref="A3:K14"/>
  <sheetViews>
    <sheetView tabSelected="1" topLeftCell="B1" workbookViewId="0">
      <selection activeCell="A3" sqref="A3"/>
    </sheetView>
  </sheetViews>
  <sheetFormatPr defaultRowHeight="14"/>
  <cols>
    <col min="1" max="1" width="12.9140625" bestFit="1" customWidth="1"/>
    <col min="2" max="2" width="17" bestFit="1" customWidth="1"/>
    <col min="4" max="4" width="12.9140625" bestFit="1" customWidth="1"/>
    <col min="5" max="5" width="17" bestFit="1" customWidth="1"/>
    <col min="7" max="7" width="12.9140625" bestFit="1" customWidth="1"/>
    <col min="8" max="8" width="17" bestFit="1" customWidth="1"/>
    <col min="9" max="9" width="8.4140625" customWidth="1"/>
    <col min="10" max="10" width="12.9140625" bestFit="1" customWidth="1"/>
    <col min="11" max="11" width="16.1640625" bestFit="1" customWidth="1"/>
  </cols>
  <sheetData>
    <row r="3" spans="1:11">
      <c r="A3" s="8" t="s">
        <v>34</v>
      </c>
      <c r="B3" t="s">
        <v>35</v>
      </c>
      <c r="D3" s="8" t="s">
        <v>34</v>
      </c>
      <c r="E3" t="s">
        <v>35</v>
      </c>
      <c r="G3" s="8" t="s">
        <v>34</v>
      </c>
      <c r="H3" t="s">
        <v>35</v>
      </c>
      <c r="J3" s="8" t="s">
        <v>34</v>
      </c>
      <c r="K3" t="s">
        <v>36</v>
      </c>
    </row>
    <row r="4" spans="1:11">
      <c r="A4" s="3" t="s">
        <v>12</v>
      </c>
      <c r="B4" s="10">
        <v>3534400</v>
      </c>
      <c r="D4" s="3" t="s">
        <v>16</v>
      </c>
      <c r="E4" s="10">
        <v>547200</v>
      </c>
      <c r="G4" s="3" t="s">
        <v>8</v>
      </c>
      <c r="H4" s="10">
        <v>1591600</v>
      </c>
      <c r="J4" s="3" t="s">
        <v>16</v>
      </c>
      <c r="K4" s="9">
        <v>456</v>
      </c>
    </row>
    <row r="5" spans="1:11">
      <c r="A5" s="3" t="s">
        <v>18</v>
      </c>
      <c r="B5" s="10">
        <v>2661400</v>
      </c>
      <c r="D5" s="3" t="s">
        <v>13</v>
      </c>
      <c r="E5" s="10">
        <v>2222500</v>
      </c>
      <c r="G5" s="3" t="s">
        <v>25</v>
      </c>
      <c r="H5" s="10">
        <v>677600</v>
      </c>
      <c r="J5" s="3" t="s">
        <v>13</v>
      </c>
      <c r="K5" s="9">
        <v>635</v>
      </c>
    </row>
    <row r="6" spans="1:11">
      <c r="A6" s="3" t="s">
        <v>15</v>
      </c>
      <c r="B6" s="10">
        <v>2870600</v>
      </c>
      <c r="D6" s="3" t="s">
        <v>26</v>
      </c>
      <c r="E6" s="10">
        <v>706800</v>
      </c>
      <c r="G6" s="3" t="s">
        <v>17</v>
      </c>
      <c r="H6" s="10">
        <v>1957000</v>
      </c>
      <c r="J6" s="3" t="s">
        <v>26</v>
      </c>
      <c r="K6" s="9">
        <v>1178</v>
      </c>
    </row>
    <row r="7" spans="1:11">
      <c r="A7" s="3" t="s">
        <v>9</v>
      </c>
      <c r="B7" s="10">
        <v>3878100</v>
      </c>
      <c r="D7" s="3" t="s">
        <v>19</v>
      </c>
      <c r="E7" s="10">
        <v>898000</v>
      </c>
      <c r="G7" s="3" t="s">
        <v>22</v>
      </c>
      <c r="H7" s="10">
        <v>1661400</v>
      </c>
      <c r="J7" s="3" t="s">
        <v>19</v>
      </c>
      <c r="K7" s="9">
        <v>898</v>
      </c>
    </row>
    <row r="8" spans="1:11">
      <c r="A8" s="3" t="s">
        <v>30</v>
      </c>
      <c r="B8" s="10">
        <v>12944500</v>
      </c>
      <c r="D8" s="3" t="s">
        <v>28</v>
      </c>
      <c r="E8" s="10">
        <v>2350000</v>
      </c>
      <c r="G8" s="3" t="s">
        <v>24</v>
      </c>
      <c r="H8" s="10">
        <v>1741200</v>
      </c>
      <c r="J8" s="3" t="s">
        <v>28</v>
      </c>
      <c r="K8" s="9">
        <v>235</v>
      </c>
    </row>
    <row r="9" spans="1:11">
      <c r="D9" s="3" t="s">
        <v>21</v>
      </c>
      <c r="E9" s="10">
        <v>3196000</v>
      </c>
      <c r="G9" s="3" t="s">
        <v>14</v>
      </c>
      <c r="H9" s="10">
        <v>1110000</v>
      </c>
      <c r="J9" s="3" t="s">
        <v>21</v>
      </c>
      <c r="K9" s="9">
        <v>799</v>
      </c>
    </row>
    <row r="10" spans="1:11">
      <c r="D10" s="3" t="s">
        <v>10</v>
      </c>
      <c r="E10" s="10">
        <v>3024000</v>
      </c>
      <c r="G10" s="3" t="s">
        <v>11</v>
      </c>
      <c r="H10" s="10">
        <v>1777400</v>
      </c>
      <c r="J10" s="3" t="s">
        <v>10</v>
      </c>
      <c r="K10" s="9">
        <v>504</v>
      </c>
    </row>
    <row r="11" spans="1:11">
      <c r="D11" s="3" t="s">
        <v>30</v>
      </c>
      <c r="E11" s="10">
        <v>12944500</v>
      </c>
      <c r="G11" s="3" t="s">
        <v>20</v>
      </c>
      <c r="H11" s="10">
        <v>1065400</v>
      </c>
      <c r="J11" s="3" t="s">
        <v>30</v>
      </c>
      <c r="K11" s="9">
        <v>4705</v>
      </c>
    </row>
    <row r="12" spans="1:11">
      <c r="G12" s="3" t="s">
        <v>27</v>
      </c>
      <c r="H12" s="10">
        <v>784400</v>
      </c>
    </row>
    <row r="13" spans="1:11">
      <c r="G13" s="3" t="s">
        <v>23</v>
      </c>
      <c r="H13" s="10">
        <v>578500</v>
      </c>
    </row>
    <row r="14" spans="1:11">
      <c r="G14" s="3" t="s">
        <v>30</v>
      </c>
      <c r="H14" s="10">
        <v>12944500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SalesData</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USER</cp:lastModifiedBy>
  <dcterms:created xsi:type="dcterms:W3CDTF">2024-05-30T14:35:02Z</dcterms:created>
  <dcterms:modified xsi:type="dcterms:W3CDTF">2026-01-08T03:46:49Z</dcterms:modified>
</cp:coreProperties>
</file>